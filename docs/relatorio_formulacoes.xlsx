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100% Concentrado" sheetId="2" r:id="rId6"/>
    <sheet state="visible" name="Mistas fixo" sheetId="3" r:id="rId7"/>
    <sheet state="visible" name="Mistas Otimizadas" sheetId="4" r:id="rId8"/>
    <sheet state="visible" name="Comparativo Mistas" sheetId="5" r:id="rId9"/>
    <sheet state="visible" name="Dados Cenarios" sheetId="6" r:id="rId10"/>
    <sheet state="visible" name="Dados Ingredientes" sheetId="7" r:id="rId11"/>
    <sheet state="visible" name="Exigencias" sheetId="8" r:id="rId12"/>
    <sheet state="visible" name="Auditoria" sheetId="9" r:id="rId13"/>
  </sheets>
  <definedNames/>
  <calcPr/>
</workbook>
</file>

<file path=xl/sharedStrings.xml><?xml version="1.0" encoding="utf-8"?>
<sst xmlns="http://schemas.openxmlformats.org/spreadsheetml/2006/main" count="11471" uniqueCount="579">
  <si>
    <t>Misturas volumoso/concentrado - geração otimizada</t>
  </si>
  <si>
    <t>Misturas volumoso/concentrado -  fixo</t>
  </si>
  <si>
    <t>6. Formulação ID 14: teste reuniao</t>
  </si>
  <si>
    <t>4. Formulação ID 11: teste reuniao</t>
  </si>
  <si>
    <t>Categoria: Ovelhas | Fase: Início da lactação | PV: 20 kg | GMD: 0.2 kg/dia | CMS: 0.594 kg/dia | NRC ID: 1696 | Travas: 1</t>
  </si>
  <si>
    <t>Categoria: Ovelhas | Fase: Início da lactação | PV: 20 kg | GMD: 0.2 kg/dia | CMS: 0.594 kg/dia | NRC ID: 1696 | Travas: 0</t>
  </si>
  <si>
    <t>Formulações 100% concentrado</t>
  </si>
  <si>
    <t>11. Formulação ID 33: 1_id4</t>
  </si>
  <si>
    <t>Categoria: Cordeiros(as) 4 meses | Fase: Crescimento | PV: 20 kg | GMD: 0.2 kg/dia | CMS: 0.594 kg/dia | NRC ID: 1696 | Travas: 0</t>
  </si>
  <si>
    <t>Tipo</t>
  </si>
  <si>
    <t>Ingrediente</t>
  </si>
  <si>
    <t>% MS</t>
  </si>
  <si>
    <t>MS ing. (%)</t>
  </si>
  <si>
    <t>MN (100 kg)</t>
  </si>
  <si>
    <t>MN (300 kg)</t>
  </si>
  <si>
    <t>Origem</t>
  </si>
  <si>
    <t>Energético</t>
  </si>
  <si>
    <t>Trigo Farelo</t>
  </si>
  <si>
    <t>Silagens</t>
  </si>
  <si>
    <t>Milho Grão</t>
  </si>
  <si>
    <t>Milho, Silagem</t>
  </si>
  <si>
    <t>Calculada</t>
  </si>
  <si>
    <t>Proteico</t>
  </si>
  <si>
    <t>Soja Farelo</t>
  </si>
  <si>
    <t>Mineral</t>
  </si>
  <si>
    <t>Uréia</t>
  </si>
  <si>
    <t>Calcário calcítico</t>
  </si>
  <si>
    <t>TOTAL</t>
  </si>
  <si>
    <t>Forragens Verdes</t>
  </si>
  <si>
    <t>Alfafa</t>
  </si>
  <si>
    <t>Fosfato Monoamônio Defluorizado</t>
  </si>
  <si>
    <t>Travada</t>
  </si>
  <si>
    <t>Azevém</t>
  </si>
  <si>
    <t>PB (%)</t>
  </si>
  <si>
    <t>Arroz Farelo Integral</t>
  </si>
  <si>
    <t>NDT (%)</t>
  </si>
  <si>
    <t>FDN (%)</t>
  </si>
  <si>
    <t>Ca (%)</t>
  </si>
  <si>
    <t>P (%)</t>
  </si>
  <si>
    <t>Ca:P</t>
  </si>
  <si>
    <t>EE (%)</t>
  </si>
  <si>
    <t>Vol. (%)</t>
  </si>
  <si>
    <t>Desvios</t>
  </si>
  <si>
    <t>Composição bromatológica: PB 18.68% | NDT 72.93% | FDN 32.96% | EE 3.24% | Ca 0.62% | P 0.28% | Ca:P 2.26:1 | Relação Ca:P: PREFERENCIAL</t>
  </si>
  <si>
    <t>Composição bromatológica: PB 18.69% | NDT 81.88% | FDN 17.04% | EE 3.49% | Ca 0.81% | P 0.38% | Ca:P 2.11:1 | Relação Ca:P: PREFERENCIAL</t>
  </si>
  <si>
    <t>Avaliação: P deficit (34.5%) | Motor: convergiu</t>
  </si>
  <si>
    <t>Avaliação: FDN deficit (43.2%); P deficit (9.2%) | Motor: convergiu</t>
  </si>
  <si>
    <t>12. Formulação ID 34: 2_id4</t>
  </si>
  <si>
    <t>7. Formulação ID 17: teste 2</t>
  </si>
  <si>
    <t>Categoria: Cordeiros(as) 4 meses | Fase: Crescimento | PV: 20 kg | GMD: 0.2 kg/dia | CMS: 0.594 kg/dia | NRC ID: 1696 | Travas: 3</t>
  </si>
  <si>
    <t>Composição bromatológica: PB 18.68% | NDT 73.02% | FDN 33.58% | EE 5.77% | Ca 1.28% | P 0.64% | Ca:P 2.00:1 | Relação Ca:P: ACEITAVEL</t>
  </si>
  <si>
    <t>Avaliação: Sem déficits ou excessos configurados. | Motor: convergiu</t>
  </si>
  <si>
    <t>Aveia Grão</t>
  </si>
  <si>
    <t>Composição bromatológica: PB 18.69% | NDT 79.41% | FDN 19.46% | EE 4.00% | Ca 0.75% | P 0.35% | Ca:P 2.15:1 | Relação Ca:P: PREFERENCIAL</t>
  </si>
  <si>
    <t>Avaliação: FDN deficit (35.1%); P deficit (17.5%) | Motor: convergiu</t>
  </si>
  <si>
    <t>13. Formulação ID 35: 6_id6</t>
  </si>
  <si>
    <t>Categoria: Cordeiros(as) 4 meses | Fase: Crescimento | PV: 20 kg | GMD: 0.3 kg/dia | CMS: 0.608 kg/dia | NRC ID: 1697 | Travas: 0</t>
  </si>
  <si>
    <t>Bateria de formulações recalculadas</t>
  </si>
  <si>
    <t>Execução em memória com o motor atual, sem alterar as formulações persistidas. Ca:P preferencial: 2,0–2,5:1; faixa aceitável: 1,5–3,0:1.</t>
  </si>
  <si>
    <t>Formulações</t>
  </si>
  <si>
    <t>Composição bromatológica: PB 18.69% | NDT 71.73% | FDN 34.72% | EE 3.08% | Ca 0.63% | P 0.28% | Ca:P 2.27:1 | Relação Ca:P: PREFERENCIAL</t>
  </si>
  <si>
    <t>100% concentrado</t>
  </si>
  <si>
    <t>Avaliação: P deficit (33.8%) | Motor: convergiu</t>
  </si>
  <si>
    <t>Mistas</t>
  </si>
  <si>
    <t>Cenários com sucesso (contando mista fixa e otimizada)</t>
  </si>
  <si>
    <t>10. Formulação ID 28: teste 5</t>
  </si>
  <si>
    <t>DDGS30</t>
  </si>
  <si>
    <t>Composição bromatológica: PB 24.34% | NDT 79.24% | FDN 20.35% | EE 3.12% | Ca 1.03% | P 0.50% | Ca:P 2.07:1 | Relação Ca:P: PREFERENCIAL</t>
  </si>
  <si>
    <t>Avaliação: FDN deficit (32.2%); P deficit (13.7%) | Motor: convergiu</t>
  </si>
  <si>
    <t>14. Formulação ID 36: 7_id6</t>
  </si>
  <si>
    <t>Sal Branco</t>
  </si>
  <si>
    <t>Leitura do relatório: as três abas seguintes reproduzem o padrão da referência visual. MN (100 kg) é normalizada para fechar exatamente 100 kg de matéria natural, e MN (300 kg) é o triplo exato. Os casos inviáveis continuam listados com a causa.</t>
  </si>
  <si>
    <t>Composição bromatológica: PB 18.68% | NDT 72.43% | FDN 33.88% | EE 3.22% | Ca 0.62% | P 0.27% | Ca:P 2.27:1 | Relação Ca:P: PREFERENCIAL</t>
  </si>
  <si>
    <t>Cenário</t>
  </si>
  <si>
    <t>Execuções</t>
  </si>
  <si>
    <t>Sucessos</t>
  </si>
  <si>
    <t>Avaliação: P deficit (34.7%) | Motor: convergiu</t>
  </si>
  <si>
    <t>Erros</t>
  </si>
  <si>
    <t>Composição bromatológica: PB 18.68% | NDT 69.51% | FDN 40.39% | EE 2.88% | Ca 0.84% | P 0.42% | Ca:P 2.00:1 | Relação Ca:P: ACEITAVEL</t>
  </si>
  <si>
    <t>11. Formulação ID 29: teste 6</t>
  </si>
  <si>
    <t>Categoria: Cordeiros(as) 4 meses | Fase: Crescimento | PV: 20 kg | GMD: 0.15 kg/dia | CMS: 0.76 kg/dia | NRC ID: 1727 | Travas: 0</t>
  </si>
  <si>
    <t>Mistas 50%</t>
  </si>
  <si>
    <t>Mistas otimizadas</t>
  </si>
  <si>
    <t>Composição bromatológica: PB 24.34% | NDT 79.27% | FDN 18.18% | EE 3.50% | Ca 0.96% | P 0.39% | Ca:P 2.49:1 | Relação Ca:P: PREFERENCIAL</t>
  </si>
  <si>
    <t>Avaliação: FDN deficit (39.4%); P deficit (32.9%) | Motor: convergiu</t>
  </si>
  <si>
    <t>15. Formulação ID 37: 10_id8</t>
  </si>
  <si>
    <t>Categoria: Cordeiros(as) 4 meses | Fase: Crescimento | PV: 30 kg | GMD: 0.2 kg/dia | CMS: 1.053 kg/dia | NRC ID: 1698 | Travas: 0</t>
  </si>
  <si>
    <t>Regras da execução</t>
  </si>
  <si>
    <t>Alvo rígido de 0% de volumoso</t>
  </si>
  <si>
    <t>Alvo rígido de 50% de volumoso</t>
  </si>
  <si>
    <t>Busca automática do percentual estruturalmente viável</t>
  </si>
  <si>
    <t>Participações travadas</t>
  </si>
  <si>
    <t>Preservadas em todos os cenários</t>
  </si>
  <si>
    <t>Critério</t>
  </si>
  <si>
    <t>Objetivo EQUILIBRADO do motor atual</t>
  </si>
  <si>
    <t>Conteúdo das abas</t>
  </si>
  <si>
    <t>100% Concentrado</t>
  </si>
  <si>
    <t>Composição bromatológica: PB 18.68% | NDT 71.73% | FDN 34.73% | EE 3.08% | Ca 0.63% | P 0.28% | Ca:P 2.27:1 | Relação Ca:P: PREFERENCIAL</t>
  </si>
  <si>
    <t>Blocos completos de todas as formulações exclusivamente concentradas.</t>
  </si>
  <si>
    <t>Mesmas misturas recalculadas com 50% de volumoso fixo.</t>
  </si>
  <si>
    <t>Mistas Otimizadas</t>
  </si>
  <si>
    <t>Composição bromatológica: PB 12.23% | NDT 69.54% | FDN 41.06% | EE 3.27% | Ca 0.78% | P 0.39% | Ca:P 2.00:1 | Relação Ca:P: PREFERENCIAL</t>
  </si>
  <si>
    <t>Mesmas misturas sem alvo fixo de volumoso.</t>
  </si>
  <si>
    <t>Comparativo Mistas</t>
  </si>
  <si>
    <t>Diferenças de PB, NDT, FDN, Ca:P e número de desvios.</t>
  </si>
  <si>
    <t>Dados Cenarios</t>
  </si>
  <si>
    <t>Tabela plana de resultados para filtros e análise.</t>
  </si>
  <si>
    <t>Dados Ingredientes</t>
  </si>
  <si>
    <t>Participações, matéria natural, composição e contribuições auditáveis.</t>
  </si>
  <si>
    <t>12. Formulação ID 30: teste 7</t>
  </si>
  <si>
    <t>Exigencias</t>
  </si>
  <si>
    <t>Operadores e limites nutricionais vigentes por formulação.</t>
  </si>
  <si>
    <t>Categoria: Cordeiros(as) 4 meses | Fase: Crescimento | PV: 20 kg | GMD: 0.2 kg/dia | CMS: 0.614 kg/dia | NRC ID: 1760 | Travas: 0</t>
  </si>
  <si>
    <t>Auditoria</t>
  </si>
  <si>
    <t>Metadados e causas de cenários não calculados.</t>
  </si>
  <si>
    <t>Composição bromatológica: PB 12.44% | NDT 81.21% | FDN 19.88% | EE 3.86% | Ca 0.82% | P 0.40% | Ca:P 2.06:1 | Relação Ca:P: PREFERENCIAL</t>
  </si>
  <si>
    <t>Avaliação: FDN deficit (33.7%) | Motor: convergiu</t>
  </si>
  <si>
    <t>16. Formulação ID 38: 11_id8</t>
  </si>
  <si>
    <t>Composição bromatológica: PB 18.07% | NDT 69.70% | FDN 39.96% | EE 2.92% | Ca 0.81% | P 0.41% | Ca:P 2.00:1 | Relação Ca:P: ACEITAVEL</t>
  </si>
  <si>
    <t>Composição bromatológica: PB 12.44% | NDT 79.48% | FDN 20.60% | EE 4.51% | Ca 0.62% | P 0.30% | Ca:P 2.05:1 | Relação Ca:P: PREFERENCIAL</t>
  </si>
  <si>
    <t>Avaliação: FDN deficit (31.3%) | Motor: convergiu</t>
  </si>
  <si>
    <t>14. Formulação ID 32: teste 9</t>
  </si>
  <si>
    <t>Categoria: Cordeiros(as) 4 meses | Fase: Crescimento | PV: 50 kg | GMD: -0.034 kg/dia | CMS: 1.8799999999999997 kg/dia | NRC ID: 1921 | Travas: 0</t>
  </si>
  <si>
    <t>17. Formulação ID 39: 15_id11</t>
  </si>
  <si>
    <t>Categoria: Cordeiros(as) 4 meses | Fase: Crescimento | PV: 30 kg | GMD: 0.25 kg/dia | CMS: 1.074 kg/dia | NRC ID: 1699 | Travas: 0</t>
  </si>
  <si>
    <t>Composição bromatológica: PB 18.68% | NDT 73.05% | FDN 33.87% | EE 3.11% | Ca 0.98% | P 0.49% | Ca:P 2.00:1 | Relação Ca:P: PREFERENCIAL</t>
  </si>
  <si>
    <t>Composição bromatológica: PB 15.81% | NDT 65.96% | FDN 45.06% | EE 3.04% | Ca 1.00% | P 0.50% | Ca:P 2.00:1 | Relação Ca:P: PREFERENCIAL</t>
  </si>
  <si>
    <t>15. Formulação ID 84: atz75</t>
  </si>
  <si>
    <t>Composição bromatológica: PB 14.02% | NDT 79.75% | FDN 22.14% | EE 3.74% | Ca 0.93% | P 0.46% | Ca:P 2.03:1 | Relação Ca:P: PREFERENCIAL</t>
  </si>
  <si>
    <t>Avaliação: FDN deficit (26.2%) | Motor: convergiu</t>
  </si>
  <si>
    <t>18. Formulação ID 43: 16_id11</t>
  </si>
  <si>
    <t>Composição bromatológica: PB 12.25% | NDT 73.00% | FDN 33.78% | EE 3.51% | Ca 1.22% | P 0.49% | Ca:P 2.50:1 | Relação Ca:P: PREFERENCIAL</t>
  </si>
  <si>
    <t>Composição bromatológica: PB 18.68% | NDT 71.75% | FDN 34.73% | EE 3.09% | Ca 0.62% | P 0.28% | Ca:P 2.24:1 | Relação Ca:P: PREFERENCIAL</t>
  </si>
  <si>
    <t>Composição bromatológica: PB 14.02% | NDT 79.76% | FDN 19.80% | EE 4.33% | Ca 0.69% | P 0.31% | Ca:P 2.21:1 | Relação Ca:P: PREFERENCIAL</t>
  </si>
  <si>
    <t>Avaliação: FDN deficit (34.0%) | Motor: convergiu</t>
  </si>
  <si>
    <t>16. Formulação ID 85: zoot25-1</t>
  </si>
  <si>
    <t>19. Formulação ID 44: 1_id4 v2</t>
  </si>
  <si>
    <t>Composição bromatológica: PB 18.68% | NDT 72.29% | FDN 34.95% | EE 2.96% | Ca 0.62% | P 0.30% | Ca:P 2.06:1 | Relação Ca:P: PREFERENCIAL</t>
  </si>
  <si>
    <t>Avaliação: P deficit (28.0%) | Motor: convergiu</t>
  </si>
  <si>
    <t>17. Formulação ID 86: aula dieta total</t>
  </si>
  <si>
    <t>20. Formulação ID 45: 2_id4 v2</t>
  </si>
  <si>
    <t>ID</t>
  </si>
  <si>
    <t>Título</t>
  </si>
  <si>
    <t>Categoria</t>
  </si>
  <si>
    <t>Composição bromatológica: PB 18.07% | NDT 73.38% | FDN 33.37% | EE 3.17% | Ca 1.00% | P 0.50% | Ca:P 2.00:1 | Relação Ca:P: PREFERENCIAL</t>
  </si>
  <si>
    <t>Status 50%</t>
  </si>
  <si>
    <t>Status otimizada</t>
  </si>
  <si>
    <t>Vol. fixo</t>
  </si>
  <si>
    <t>Vol. otimizada</t>
  </si>
  <si>
    <t>18. Formulação ID 87: atz1</t>
  </si>
  <si>
    <t>21. Formulação ID 46: 6_id6 v2</t>
  </si>
  <si>
    <t>Categoria: Cordeiros(as) 4 meses | Fase: Crescimento | PV: 20 kg | GMD: 0.2 kg/dia | CMS: 0.594 kg/dia | NRC ID: 1696 | Travas: 1</t>
  </si>
  <si>
    <t>Δ vol.</t>
  </si>
  <si>
    <t>PB fixo</t>
  </si>
  <si>
    <t>PB otimizada</t>
  </si>
  <si>
    <t>Δ PB</t>
  </si>
  <si>
    <t>NDT fixo</t>
  </si>
  <si>
    <t>NDT otimizada</t>
  </si>
  <si>
    <t>Δ NDT</t>
  </si>
  <si>
    <t>FDN fixo</t>
  </si>
  <si>
    <t>FDN otimizada</t>
  </si>
  <si>
    <t>Δ FDN</t>
  </si>
  <si>
    <t>Ca:P fixo</t>
  </si>
  <si>
    <t>Ca:P otimizada</t>
  </si>
  <si>
    <t>Aditivos</t>
  </si>
  <si>
    <t>Bicarbonato de Sódio</t>
  </si>
  <si>
    <t>Faixa Ca:P fixo</t>
  </si>
  <si>
    <t>Faixa Ca:P otimizada</t>
  </si>
  <si>
    <t>Desvios fixo</t>
  </si>
  <si>
    <t>Desvios otimizada</t>
  </si>
  <si>
    <t>Δ desvios</t>
  </si>
  <si>
    <t>Resultado nutricional</t>
  </si>
  <si>
    <t>22. Formulação ID 47: 7_id6 v2</t>
  </si>
  <si>
    <t>Composição bromatológica: PB 18.68% | NDT 71.42% | FDN 34.80% | EE 2.92% | Ca 0.62% | P 0.30% | Ca:P 2.07:1 | Relação Ca:P: PREFERENCIAL</t>
  </si>
  <si>
    <t>teste reuniao</t>
  </si>
  <si>
    <t>Categoria: Cordeiros(as) 4 meses | Fase: Crescimento | PV: 20 kg | GMD: 0.3 kg/dia | CMS: 0.626 kg/dia | NRC ID: 1761 | Travas: 0</t>
  </si>
  <si>
    <t>Avaliação: P deficit (28.4%) | Motor: convergiu</t>
  </si>
  <si>
    <t>Ovelhas</t>
  </si>
  <si>
    <t>OK</t>
  </si>
  <si>
    <t>Composição bromatológica: PB 15.81% | NDT 66.39% | FDN 41.91% | EE 3.31% | Ca 2.08% | P 0.83% | Ca:P 2.50:1 | Relação Ca:P: PREFERENCIAL</t>
  </si>
  <si>
    <t>19. Formulação ID 88: ovino 2 24-42</t>
  </si>
  <si>
    <t>Categoria: Cordeiros(as) 4 meses | Fase: Crescimento | PV: 20 kg | GMD: 0.1 kg/dia | CMS: 0.596 kg/dia | NRC ID: 1758 | Travas: 0</t>
  </si>
  <si>
    <t>Composição bromatológica: PB 23.80% | NDT 80.65% | FDN 16.94% | EE 3.43% | Ca 0.81% | P 0.38% | Ca:P 2.16:1 | Relação Ca:P: PREFERENCIAL</t>
  </si>
  <si>
    <t>Avaliação: FDN deficit (43.5%); P deficit (32.6%) | Motor: convergiu</t>
  </si>
  <si>
    <t>23. Formulação ID 48: 10_id8 v2</t>
  </si>
  <si>
    <t>Categoria: Cordeiros(as) 4 meses | Fase: Crescimento | PV: 30 kg | GMD: 0.2 kg/dia | CMS: 1.089 kg/dia | NRC ID: 1762 | Travas: 0</t>
  </si>
  <si>
    <t>PREFERENCIAL</t>
  </si>
  <si>
    <t>Composição bromatológica: PB 18.68% | NDT 72.31% | FDN 33.70% | EE 3.11% | Ca 0.62% | P 0.28% | Ca:P 2.23:1 | Relação Ca:P: PREFERENCIAL</t>
  </si>
  <si>
    <t>Avaliação: P deficit (33.6%) | Motor: convergiu</t>
  </si>
  <si>
    <t>Composição bromatológica: PB 12.41% | NDT 68.72% | FDN 40.57% | EE 3.45% | Ca 0.70% | P 0.35% | Ca:P 2.00:1 | Relação Ca:P: PREFERENCIAL</t>
  </si>
  <si>
    <t>20. Formulação ID 89: zoot38</t>
  </si>
  <si>
    <t>teste 2</t>
  </si>
  <si>
    <t>Cordeiros(as) 4 meses</t>
  </si>
  <si>
    <t>Composição bromatológica: PB 12.21% | NDT 82.82% | FDN 17.12% | EE 3.90% | Ca 0.69% | P 0.33% | Ca:P 2.06:1 | Relação Ca:P: PREFERENCIAL</t>
  </si>
  <si>
    <t>Avaliação: FDN deficit (42.9%) | Motor: convergiu</t>
  </si>
  <si>
    <t>Calcário</t>
  </si>
  <si>
    <t>24. Formulação ID 49: 11_id8 v2</t>
  </si>
  <si>
    <t>Composição bromatológica: PB 18.68% | NDT 72.86% | FDN 33.92% | EE 2.99% | Ca 0.62% | P 0.30% | Ca:P 2.05:1 | Relação Ca:P: PREFERENCIAL</t>
  </si>
  <si>
    <t>Avaliação: P deficit (27.8%) | Motor: convergiu</t>
  </si>
  <si>
    <t>Composição bromatológica: PB 18.68% | NDT 71.74% | FDN 34.73% | EE 3.09% | Ca 0.62% | P 0.28% | Ca:P 2.23:1 | Relação Ca:P: PREFERENCIAL</t>
  </si>
  <si>
    <t>teste 5</t>
  </si>
  <si>
    <t>21. Formulação ID 91: ppi volumoso</t>
  </si>
  <si>
    <t>25. Formulação ID 50: 15_id11 v2</t>
  </si>
  <si>
    <t>ACEITAVEL</t>
  </si>
  <si>
    <t>Avaliação: P deficit (27.7%) | Motor: convergiu</t>
  </si>
  <si>
    <t>teste 6</t>
  </si>
  <si>
    <t>Composição bromatológica: PB 18.70% | NDT 70.76% | FDN 34.70% | EE 2.88% | Ca 0.90% | P 0.30% | Ca:P 3.00:1 | Relação Ca:P: ACEITAVEL</t>
  </si>
  <si>
    <t>Avaliação: P deficit (28.6%) | Motor: fallback estrutural</t>
  </si>
  <si>
    <t>22. Formulação ID 92: pp1 alto concentrado</t>
  </si>
  <si>
    <t>Forragens Secas</t>
  </si>
  <si>
    <t>Palha de Aveia</t>
  </si>
  <si>
    <t>26. Formulação ID 51: 16_id11 v2</t>
  </si>
  <si>
    <t>Composição bromatológica: PB 18.68% | NDT 72.09% | FDN 33.58% | EE 2.95% | Ca 0.62% | P 0.30% | Ca:P 2.06:1 | Relação Ca:P: PREFERENCIAL</t>
  </si>
  <si>
    <t>Avaliação: P deficit (28.1%) | Motor: convergiu</t>
  </si>
  <si>
    <t>teste 7</t>
  </si>
  <si>
    <t>27. Formulação ID 52: 1_id4 v3</t>
  </si>
  <si>
    <t>Composição bromatológica: PB 18.68% | NDT 67.55% | FDN 39.36% | EE 2.25% | Ca 0.66% | P 0.33% | Ca:P 2.00:1 | Relação Ca:P: PREFERENCIAL</t>
  </si>
  <si>
    <t>Avaliação: P deficit (21.2%) | Motor: convergiu</t>
  </si>
  <si>
    <t>23. Formulação ID 99: reuniao teste</t>
  </si>
  <si>
    <t>teste 9</t>
  </si>
  <si>
    <t>Composição bromatológica: PB 12.41% | NDT 69.41% | FDN 39.15% | EE 3.53% | Ca 0.73% | P 0.36% | Ca:P 2.00:1 | Relação Ca:P: ACEITAVEL</t>
  </si>
  <si>
    <t>28. Formulação ID 53: 2_id4 v3</t>
  </si>
  <si>
    <t>24. Formulação ID 100: palestra</t>
  </si>
  <si>
    <t>atz75</t>
  </si>
  <si>
    <t>29. Formulação ID 54: 6_id6 v3</t>
  </si>
  <si>
    <t>Composição bromatológica: PB 18.68% | NDT 72.30% | FDN 33.70% | EE 3.11% | Ca 0.62% | P 0.28% | Ca:P 2.23:1 | Relação Ca:P: PREFERENCIAL</t>
  </si>
  <si>
    <t>Avaliação: P deficit (33.5%) | Motor: convergiu</t>
  </si>
  <si>
    <t>zoot25-1</t>
  </si>
  <si>
    <t>30. Formulação ID 55: 7_id6</t>
  </si>
  <si>
    <t>Composição bromatológica: PB 18.68% | NDT 73.07% | FDN 30.42% | EE 3.00% | Ca 0.91% | P 0.30% | Ca:P 3.00:1 | Relação Ca:P: ACEITAVEL</t>
  </si>
  <si>
    <t>Avaliação: P deficit (27.6%) | Motor: convergiu</t>
  </si>
  <si>
    <t>aula dieta total</t>
  </si>
  <si>
    <t>31. Formulação ID 56: 10_id8 v3</t>
  </si>
  <si>
    <t>Composição bromatológica: PB 18.68% | NDT 71.40% | FDN 32.90% | EE 2.56% | Ca 0.66% | P 0.33% | Ca:P 2.00:1 | Relação Ca:P: ACEITAVEL</t>
  </si>
  <si>
    <t>atz1</t>
  </si>
  <si>
    <t>Avaliação: P deficit (21.7%) | Motor: convergiu</t>
  </si>
  <si>
    <t>32. Formulação ID 57: 11_id8 v3</t>
  </si>
  <si>
    <t>ovino 2 24-42</t>
  </si>
  <si>
    <t>Formulação ID</t>
  </si>
  <si>
    <t>Grupo</t>
  </si>
  <si>
    <t>Sucesso</t>
  </si>
  <si>
    <t>Fase</t>
  </si>
  <si>
    <t>PV (kg)</t>
  </si>
  <si>
    <t>GMD (kg/dia)</t>
  </si>
  <si>
    <t>CMS (kg/dia)</t>
  </si>
  <si>
    <t>Alvo volumoso (%)</t>
  </si>
  <si>
    <t>33. Formulação ID 58: 15_id11 v3</t>
  </si>
  <si>
    <t>Volumoso aplicado (%)</t>
  </si>
  <si>
    <t>Concentrado aplicado (%)</t>
  </si>
  <si>
    <t>Soma MS (%)</t>
  </si>
  <si>
    <t>zoot38</t>
  </si>
  <si>
    <t>Status Ca:P</t>
  </si>
  <si>
    <t>Nº desvios</t>
  </si>
  <si>
    <t>Déficits/excessos</t>
  </si>
  <si>
    <t>Motor convergiu</t>
  </si>
  <si>
    <t>Origem do alvo</t>
  </si>
  <si>
    <t>Erro</t>
  </si>
  <si>
    <t>ovelhas leiteiras</t>
  </si>
  <si>
    <t>MISTA</t>
  </si>
  <si>
    <t>Mista - 50% volumoso fixo</t>
  </si>
  <si>
    <t>SIM</t>
  </si>
  <si>
    <t>ppi volumoso</t>
  </si>
  <si>
    <t>Início da lactação</t>
  </si>
  <si>
    <t>34. Formulação ID 59: 16_id11 v3</t>
  </si>
  <si>
    <t>Sem déficits ou excessos configurados.</t>
  </si>
  <si>
    <t>heuristica_funcional</t>
  </si>
  <si>
    <t>Mista - geração otimizada</t>
  </si>
  <si>
    <t>pp1 alto concentrado</t>
  </si>
  <si>
    <t>35. Formulação ID 60: 116_id70 v3</t>
  </si>
  <si>
    <t>Categoria: Cordeiros(as) 4 meses | Fase: Crescimento | PV: 80 kg | GMD: 0.5 kg/dia | CMS: 2.56 kg/dia | NRC ID: 1757 | Travas: 0</t>
  </si>
  <si>
    <t>otimizacao_percentual_hierarquica</t>
  </si>
  <si>
    <t>Sorgo Grão</t>
  </si>
  <si>
    <t>Melaço</t>
  </si>
  <si>
    <t>reuniao teste</t>
  </si>
  <si>
    <t>Cloreto de Amônio</t>
  </si>
  <si>
    <t>Ingrediente ID</t>
  </si>
  <si>
    <t>Classificação</t>
  </si>
  <si>
    <t>Origem participação</t>
  </si>
  <si>
    <t>% MS persistida</t>
  </si>
  <si>
    <t>% MS recalculada</t>
  </si>
  <si>
    <t>MS ingrediente (%)</t>
  </si>
  <si>
    <t>Composição bromatológica: PB 11.60% | NDT 81.14% | FDN 15.09% | EE 3.82% | Ca 0.59% | P 0.27% | Ca:P 2.19:1 | Relação Ca:P: PREFERENCIAL</t>
  </si>
  <si>
    <t>Avaliação: FDN deficit (49.7%); P deficit (6.0%) | Motor: convergiu</t>
  </si>
  <si>
    <t>PB ing. (%)</t>
  </si>
  <si>
    <t>36. Formulação ID 61: 115_id64</t>
  </si>
  <si>
    <t>NDT ing. (%)</t>
  </si>
  <si>
    <t>Categoria: Cordeiros(as) 4 meses | Fase: Crescimento | PV: 70 kg | GMD: 0.4 kg/dia | CMS: 2.1069999999999998 kg/dia | NRC ID: 1751 | Travas: 0</t>
  </si>
  <si>
    <t>FDN ing. (%)</t>
  </si>
  <si>
    <t>EE ing. (%)</t>
  </si>
  <si>
    <t>Ca ing. (%)</t>
  </si>
  <si>
    <t>P ing. (%)</t>
  </si>
  <si>
    <t>Contrib. PB</t>
  </si>
  <si>
    <t>Contrib. NDT</t>
  </si>
  <si>
    <t>Contrib. FDN</t>
  </si>
  <si>
    <t>palestra</t>
  </si>
  <si>
    <t>Contrib. EE</t>
  </si>
  <si>
    <t>Contrib. Ca</t>
  </si>
  <si>
    <t>Contrib. P</t>
  </si>
  <si>
    <t>Milho Gão Silagem</t>
  </si>
  <si>
    <t>Concentrado</t>
  </si>
  <si>
    <t>CALCULADA</t>
  </si>
  <si>
    <t>Composição bromatológica: PB 11.58% | NDT 80.18% | FDN 16.51% | EE 3.97% | Ca 0.60% | P 0.27% | Ca:P 2.17:1 | Relação Ca:P: PREFERENCIAL</t>
  </si>
  <si>
    <t>Avaliação: FDN deficit (45.0%); P deficit (2.0%) | Motor: convergiu</t>
  </si>
  <si>
    <t>37. Formulação ID 62: 114_id63</t>
  </si>
  <si>
    <t>Categoria: Cordeiros(as) 4 meses | Fase: Crescimento | PV: 70 kg | GMD: 0.3 kg/dia | CMS: 2.758 kg/dia | NRC ID: 1750 | Travas: 0</t>
  </si>
  <si>
    <t>P deficit (34.5%)</t>
  </si>
  <si>
    <t>P deficit (34.7%)</t>
  </si>
  <si>
    <t>Composição bromatológica: PB 8.52% | NDT 80.00% | FDN 14.40% | EE 3.42% | Ca 0.49% | P 0.24% | Ca:P 2.04:1 | Relação Ca:P: PREFERENCIAL</t>
  </si>
  <si>
    <t>Crescimento</t>
  </si>
  <si>
    <t>38. Formulação ID 63: 113_id58</t>
  </si>
  <si>
    <t>Categoria: Cordeiros(as) 4 meses | Fase: Crescimento | PV: 60 kg | GMD: 0.4 kg/dia | CMS: 2.016 kg/dia | NRC ID: 1745 | Travas: 0</t>
  </si>
  <si>
    <t>P deficit (33.8%)</t>
  </si>
  <si>
    <t>Capim Tanzânia Feno</t>
  </si>
  <si>
    <t>Composição bromatológica: PB 11.76% | NDT 77.85% | FDN 19.34% | EE 4.18% | Ca 0.62% | P 0.29% | Ca:P 2.13:1 | Relação Ca:P: PREFERENCIAL</t>
  </si>
  <si>
    <t>Volumoso</t>
  </si>
  <si>
    <t>Avaliação: FDN deficit (35.5%) | Motor: convergiu</t>
  </si>
  <si>
    <t>MANUAL_TRAVADA</t>
  </si>
  <si>
    <t>39. Formulação ID 64: 112_id57</t>
  </si>
  <si>
    <t>Categoria: Cordeiros(as) 4 meses | Fase: Crescimento | PV: 60 kg | GMD: 0.3 kg/dia | CMS: 1.656 kg/dia | NRC ID: 1744 | Travas: 0</t>
  </si>
  <si>
    <t>Capim Bráquiaria Brazintha Feno</t>
  </si>
  <si>
    <t>PB excesso (123.4%)</t>
  </si>
  <si>
    <t>Composição bromatológica: PB 11.47% | NDT 81.04% | FDN 15.55% | EE 3.89% | Ca 0.65% | P 0.27% | Ca:P 2.41:1 | Relação Ca:P: PREFERENCIAL</t>
  </si>
  <si>
    <t>Avaliação: FDN deficit (48.2%); P deficit (0.6%) | Motor: convergiu</t>
  </si>
  <si>
    <t>40. Formulação ID 65: 111_id53</t>
  </si>
  <si>
    <t>Categoria: Cordeiros(as) 4 meses | Fase: Crescimento | PV: 50 kg | GMD: 0.4 kg/dia | CMS: 1.925 kg/dia | NRC ID: 1740 | Travas: 0</t>
  </si>
  <si>
    <t>Milheto Grão</t>
  </si>
  <si>
    <t>P deficit (6.2%)</t>
  </si>
  <si>
    <t>Nutriente</t>
  </si>
  <si>
    <t>Operador</t>
  </si>
  <si>
    <t>Valor mín. (% MS)</t>
  </si>
  <si>
    <t>Valor máx. (% MS)</t>
  </si>
  <si>
    <t>Origem NRC (% MS)</t>
  </si>
  <si>
    <t>Alterado pelo usuário</t>
  </si>
  <si>
    <t>Composição bromatológica: PB 11.95% | NDT 81.04% | FDN 15.29% | EE 3.82% | Ca 0.64% | P 0.27% | Ca:P 2.37:1 | Relação Ca:P: PREFERENCIAL</t>
  </si>
  <si>
    <t>Avaliação: FDN deficit (49.0%); P deficit (8.0%) | Motor: convergiu</t>
  </si>
  <si>
    <t>Mihho Desintegrado Com Palha e Sabugo</t>
  </si>
  <si>
    <t>configuraçao</t>
  </si>
  <si>
    <t>41. Formulação ID 66: 110_id52</t>
  </si>
  <si>
    <t>Categoria: Cordeiros(as) 4 meses | Fase: Crescimento | PV: 50 kg | GMD: 0.3 kg/dia | CMS: 1.5650000000000002 kg/dia | NRC ID: 1739 | Travas: 0</t>
  </si>
  <si>
    <t>Gestação tardia</t>
  </si>
  <si>
    <t>CA</t>
  </si>
  <si>
    <t>&gt;=</t>
  </si>
  <si>
    <t>NÃO</t>
  </si>
  <si>
    <t>CA_P</t>
  </si>
  <si>
    <t>EE</t>
  </si>
  <si>
    <t>&lt;=</t>
  </si>
  <si>
    <t>Composição bromatológica: PB 11.69% | NDT 80.71% | FDN 16.27% | EE 3.96% | Ca 0.65% | P 0.28% | Ca:P 2.35:1 | Relação Ca:P: PREFERENCIAL</t>
  </si>
  <si>
    <t>FDN</t>
  </si>
  <si>
    <t>Avaliação: FDN deficit (45.8%); P deficit (1.8%) | Motor: convergiu</t>
  </si>
  <si>
    <t>42. Formulação ID 67: 105_id26</t>
  </si>
  <si>
    <t>Categoria: Cordeiros(as) 4 meses | Fase: Crescimento | PV: 60 kg | GMD: 0.4 kg/dia | CMS: 2.0820000000000003 kg/dia | NRC ID: 1713 | Travas: 0</t>
  </si>
  <si>
    <t>NDT</t>
  </si>
  <si>
    <t>P</t>
  </si>
  <si>
    <t>PB</t>
  </si>
  <si>
    <t>IGUAL (=)</t>
  </si>
  <si>
    <t>teste 3</t>
  </si>
  <si>
    <t>Composição bromatológica: PB 12.20% | NDT 77.64% | FDN 18.13% | EE 3.79% | Ca 0.59% | P 0.29% | Ca:P 2.05:1 | Relação Ca:P: PREFERENCIAL</t>
  </si>
  <si>
    <t>Avaliação: FDN deficit (39.6%) | Motor: convergiu</t>
  </si>
  <si>
    <t>43. Formulação ID 68: 104_id17</t>
  </si>
  <si>
    <t>Categoria: Cordeiros(as) 4 meses | Fase: Crescimento | PV: 40 kg | GMD: 0.4 kg/dia | CMS: 1.1640000000000001 kg/dia | NRC ID: 1704 | Travas: 0</t>
  </si>
  <si>
    <t>Composição bromatológica: PB 18.30% | NDT 77.29% | FDN 17.35% | EE 3.29% | Ca 0.68% | P 0.33% | Ca:P 2.05:1 | Relação Ca:P: PREFERENCIAL</t>
  </si>
  <si>
    <t>Avaliação: FDN deficit (42.2%); P deficit (24.0%) | Motor: convergiu</t>
  </si>
  <si>
    <t>44. Formulação ID 69: 101_id12</t>
  </si>
  <si>
    <t>Categoria: Cordeiros(as) 4 meses | Fase: Crescimento | PV: 30 kg | GMD: 0.3 kg/dia | CMS: 0.8790000000000001 kg/dia | NRC ID: 1700 | Travas: 0</t>
  </si>
  <si>
    <t>alteração na geração</t>
  </si>
  <si>
    <t>Mandioca Farinha</t>
  </si>
  <si>
    <t>Composição bromatológica: PB 18.43% | NDT 77.27% | FDN 17.29% | EE 3.27% | Ca 0.70% | P 0.33% | Ca:P 2.11:1 | Relação Ca:P: PREFERENCIAL</t>
  </si>
  <si>
    <t>Avaliação: FDN deficit (42.4%); P deficit (22.8%) | Motor: convergiu</t>
  </si>
  <si>
    <t>45. Formulação ID 70: 98_id6</t>
  </si>
  <si>
    <t>1_id4</t>
  </si>
  <si>
    <t>CONCENTRADO</t>
  </si>
  <si>
    <t>FDN deficit (43.2%); P deficit (9.2%)</t>
  </si>
  <si>
    <t>Composição bromatológica: PB 24.34% | NDT 79.03% | FDN 15.17% | EE 2.94% | Ca 0.85% | P 0.37% | Ca:P 2.30:1 | Relação Ca:P: PREFERENCIAL</t>
  </si>
  <si>
    <t>referencia_validada_exata:LIVRO-001</t>
  </si>
  <si>
    <t>Avaliação: FDN deficit (49.4%); P deficit (35.7%) | Motor: convergiu</t>
  </si>
  <si>
    <t>46. Formulação ID 71: 97_id4</t>
  </si>
  <si>
    <t>2_id4</t>
  </si>
  <si>
    <t>Cromo Orgânico</t>
  </si>
  <si>
    <t>FDN deficit (35.1%); P deficit (17.5%)</t>
  </si>
  <si>
    <t>referencia_validada_exata:LIVRO-002</t>
  </si>
  <si>
    <t>6_id6</t>
  </si>
  <si>
    <t>Composição bromatológica: PB 18.69% | NDT 77.81% | FDN 17.24% | EE 3.39% | Ca 0.77% | P 0.34% | Ca:P 2.30:1 | Relação Ca:P: PREFERENCIAL</t>
  </si>
  <si>
    <t>Avaliação: FDN deficit (42.5%); P deficit (20.3%) | Motor: convergiu</t>
  </si>
  <si>
    <t>47. Formulação ID 72: 20_id12</t>
  </si>
  <si>
    <t>FDN deficit (32.2%); P deficit (13.7%)</t>
  </si>
  <si>
    <t>ENTRE</t>
  </si>
  <si>
    <t>referencia_validada_exata:LIVRO-006</t>
  </si>
  <si>
    <t>7_id6</t>
  </si>
  <si>
    <t>Composição bromatológica: PB 18.43% | NDT 81.27% | FDN 18.30% | EE 3.50% | Ca 0.84% | P 0.41% | Ca:P 2.05:1 | Relação Ca:P: PREFERENCIAL</t>
  </si>
  <si>
    <t>Avaliação: FDN deficit (39.0%); P deficit (5.7%) | Motor: convergiu</t>
  </si>
  <si>
    <t>48. Formulação ID 73: 25_id1</t>
  </si>
  <si>
    <t>Categoria: Cordeiros(as) 4 meses | Fase: Crescimento | PV: 40 kg | GMD: 0.25 kg/dia | CMS: 1.3239999999999998 kg/dia | NRC ID: 1702 | Travas: 0</t>
  </si>
  <si>
    <t>FDN deficit (39.4%); P deficit (32.9%)</t>
  </si>
  <si>
    <t>referencia_validada_exata:LIVRO-007</t>
  </si>
  <si>
    <t>10_id8</t>
  </si>
  <si>
    <t>Composição bromatológica: PB 12.31% | NDT 80.52% | FDN 21.14% | EE 3.86% | Ca 0.87% | P 0.42% | Ca:P 2.06:1 | Relação Ca:P: PREFERENCIAL</t>
  </si>
  <si>
    <t>Avaliação: FDN deficit (29.5%) | Motor: convergiu</t>
  </si>
  <si>
    <t>49. Formulação ID 75: 54_id46</t>
  </si>
  <si>
    <t>Categoria: Cordeiros(as) 4 meses | Fase: Crescimento | PV: 30 kg | GMD: 0.4 kg/dia | CMS: 1.2750000000000001 kg/dia | NRC ID: 1733 | Travas: 0</t>
  </si>
  <si>
    <t>FDN deficit (33.7%)</t>
  </si>
  <si>
    <t>referencia_validada_exata:LIVRO-010</t>
  </si>
  <si>
    <t>11_id8</t>
  </si>
  <si>
    <t>kkk</t>
  </si>
  <si>
    <t>Composição bromatológica: PB 15.53% | NDT 79.80% | FDN 21.35% | EE 3.65% | Ca 0.99% | P 0.45% | Ca:P 2.18:1 | Relação Ca:P: PREFERENCIAL</t>
  </si>
  <si>
    <t>50. Formulação ID 76: 50_id44</t>
  </si>
  <si>
    <t>Categoria: Cordeiros(as) 4 meses | Fase: Crescimento | PV: 30 kg | GMD: 0.25 kg/dia | CMS: 0.951 kg/dia | NRC ID: 1795 | Travas: 0</t>
  </si>
  <si>
    <t>FDN deficit (31.3%)</t>
  </si>
  <si>
    <t>referencia_validada_exata:LIVRO-011</t>
  </si>
  <si>
    <t>15_id11</t>
  </si>
  <si>
    <t>FDN deficit (26.2%)</t>
  </si>
  <si>
    <t>Composição bromatológica: PB 14.41% | NDT 80.75% | FDN 20.13% | EE 3.73% | Ca 0.88% | P 0.42% | Ca:P 2.10:1 | Relação Ca:P: PREFERENCIAL</t>
  </si>
  <si>
    <t>referencia_validada_exata:LIVRO-015</t>
  </si>
  <si>
    <t>51. Formulação ID 77: 45_id43</t>
  </si>
  <si>
    <t>Categoria: Cordeiros(as) 4 meses | Fase: Crescimento | PV: 30 kg | GMD: 0.2 kg/dia | CMS: 1.0290000000000001 kg/dia | NRC ID: 1730 | Travas: 0</t>
  </si>
  <si>
    <t>16_id11</t>
  </si>
  <si>
    <t>FDN deficit (34.0%)</t>
  </si>
  <si>
    <t>referencia_validada_exata:LIVRO-016</t>
  </si>
  <si>
    <t>Composição bromatológica: PB 11.95% | NDT 81.86% | FDN 18.88% | EE 3.90% | Ca 0.76% | P 0.37% | Ca:P 2.04:1 | Relação Ca:P: PREFERENCIAL</t>
  </si>
  <si>
    <t>1_id4 v2</t>
  </si>
  <si>
    <t>52. Formulação ID 78: 40_id26</t>
  </si>
  <si>
    <t>2_id4 v2</t>
  </si>
  <si>
    <t>Composição bromatológica: PB 12.20% | NDT 81.26% | FDN 19.80% | EE 3.87% | Ca 0.82% | P 0.39% | Ca:P 2.10:1 | Relação Ca:P: PREFERENCIAL</t>
  </si>
  <si>
    <t>53. Formulação ID 79: 35_id17</t>
  </si>
  <si>
    <t>6_id6 v2</t>
  </si>
  <si>
    <t>teste 1</t>
  </si>
  <si>
    <t>Composição bromatológica: PB 18.30% | NDT 79.98% | FDN 20.67% | EE 3.49% | Ca 0.92% | P 0.46% | Ca:P 2.02:1 | Relação Ca:P: PREFERENCIAL</t>
  </si>
  <si>
    <t>Avaliação: FDN deficit (31.1%) | Motor: convergiu</t>
  </si>
  <si>
    <t>54. Formulação ID 80: 30_id16</t>
  </si>
  <si>
    <t>Categoria: Cordeiros(as) 4 meses | Fase: Crescimento | PV: 40 kg | GMD: 0.3 kg/dia | CMS: 1.5359999999999998 kg/dia | NRC ID: 1703 | Travas: 0</t>
  </si>
  <si>
    <t>7_id6 v2</t>
  </si>
  <si>
    <t>Composição bromatológica: PB 12.37% | NDT 78.88% | FDN 24.07% | EE 3.83% | Ca 0.99% | P 0.49% | Ca:P 2.03:1 | Relação Ca:P: PREFERENCIAL</t>
  </si>
  <si>
    <t>Avaliação: FDN deficit (19.8%) | Motor: convergiu</t>
  </si>
  <si>
    <t>FDN deficit (43.5%); P deficit (32.6%)</t>
  </si>
  <si>
    <t>56. Formulação ID 82: 98_id6 v2</t>
  </si>
  <si>
    <t>10_id8 v2</t>
  </si>
  <si>
    <t>FDN deficit (42.9%)</t>
  </si>
  <si>
    <t>11_id8 v2</t>
  </si>
  <si>
    <t>57. Formulação ID 83: 58_id48</t>
  </si>
  <si>
    <t>Categoria: Cordeiros(as) 4 meses | Fase: Crescimento | PV: 40 kg | GMD: 0.3 kg/dia | CMS: 1.552 kg/dia | NRC ID: 1799 | Travas: 0</t>
  </si>
  <si>
    <t>15_id11 v2</t>
  </si>
  <si>
    <t>Composição bromatológica: PB 11.53% | NDT 82.81% | FDN 17.29% | EE 3.94% | Ca 0.69% | P 0.33% | Ca:P 2.06:1 | Relação Ca:P: PREFERENCIAL</t>
  </si>
  <si>
    <t>Avaliação: FDN deficit (42.4%) | Motor: convergiu</t>
  </si>
  <si>
    <t>58. Formulação ID 90: ovelhas inicio lac arroz farelo</t>
  </si>
  <si>
    <t>Categoria: Cordeiros(as) 4 meses | Fase: Crescimento | PV: 60 kg | GMD: -0.029 kg/dia | CMS: 1.8059999999999998 kg/dia | NRC ID: 1913 | Travas: 0</t>
  </si>
  <si>
    <t>16_id11 v2</t>
  </si>
  <si>
    <t>Composição bromatológica: PB 14.84% | NDT 80.71% | FDN 16.70% | EE 7.00% | Ca 1.43% | P 0.70% | Ca:P 2.06:1 | Relação Ca:P: PREFERENCIAL</t>
  </si>
  <si>
    <t>Avaliação: FDN deficit (44.3%) | Motor: convergiu</t>
  </si>
  <si>
    <t>59. Formulação ID 93: milho e soja</t>
  </si>
  <si>
    <t>1_id4 v3</t>
  </si>
  <si>
    <t>Composição bromatológica: PB 18.69% | NDT 82.56% | FDN 14.27% | EE 3.47% | Ca 0.66% | P 0.32% | Ca:P 2.05:1 | Relação Ca:P: PREFERENCIAL</t>
  </si>
  <si>
    <t>Avaliação: FDN deficit (52.4%); P deficit (23.2%) | Motor: convergiu</t>
  </si>
  <si>
    <t>60. Formulação ID 94: ovelha g tardia</t>
  </si>
  <si>
    <t>Categoria: Cordeiros(as) 4 meses | Fase: Crescimento | PV: 70 kg | GMD: 0.181 kg/dia | CMS: 1.827 kg/dia | NRC ID: 1887 | Travas: 0</t>
  </si>
  <si>
    <t>2_id4 v3</t>
  </si>
  <si>
    <t>Composição bromatológica: PB 10.02% | NDT 83.89% | FDN 14.09% | EE 4.01% | Ca 0.52% | P 0.25% | Ca:P 2.06:1 | Relação Ca:P: PREFERENCIAL</t>
  </si>
  <si>
    <t>Avaliação: FDN deficit (53.0%); P deficit (12.5%) | Motor: convergiu</t>
  </si>
  <si>
    <t>6_id6 v3</t>
  </si>
  <si>
    <t>61. Formulação ID 95: ovelha ini lactação</t>
  </si>
  <si>
    <t>Categoria: Cordeiros(as) 4 meses | Fase: Crescimento | PV: 70 kg | GMD: -0.031 kg/dia | CMS: 1.981 kg/dia | NRC ID: 1914 | Travas: 0</t>
  </si>
  <si>
    <t>teste 4</t>
  </si>
  <si>
    <t>Composição bromatológica: PB 14.74% | NDT 83.17% | FDN 14.19% | EE 3.72% | Ca 0.60% | P 0.29% | Ca:P 2.05:1 | Relação Ca:P: PREFERENCIAL</t>
  </si>
  <si>
    <t>Avaliação: FDN deficit (52.7%); P deficit (16.3%) | Motor: convergiu</t>
  </si>
  <si>
    <t>62. Formulação ID 96: creep feeding</t>
  </si>
  <si>
    <t>10_id8 v3</t>
  </si>
  <si>
    <t>Composição bromatológica: PB 18.69% | NDT 80.03% | FDN 18.74% | EE 3.43% | Ca 0.86% | P 0.42% | Ca:P 2.04:1 | Relação Ca:P: PREFERENCIAL</t>
  </si>
  <si>
    <t>Avaliação: FDN deficit (37.5%) | Motor: convergiu</t>
  </si>
  <si>
    <t>63. Formulação ID 97: creep feedinf farelo de arroz</t>
  </si>
  <si>
    <t>11_id8 v3</t>
  </si>
  <si>
    <t>Composição bromatológica: PB 18.69% | NDT 81.29% | FDN 15.57% | EE 5.18% | Ca 1.09% | P 0.53% | Ca:P 2.05:1 | Relação Ca:P: PREFERENCIAL</t>
  </si>
  <si>
    <t>Avaliação: FDN deficit (48.1%) | Motor: convergiu</t>
  </si>
  <si>
    <t>64. Formulação ID 98: creep feeding s/ trigo</t>
  </si>
  <si>
    <t>15_id11 v3</t>
  </si>
  <si>
    <t>65. Formulação ID 101: 1_id4</t>
  </si>
  <si>
    <t>teste 1 v2</t>
  </si>
  <si>
    <t>16_id11 v3</t>
  </si>
  <si>
    <t>66. Formulação ID 102: 16_id11</t>
  </si>
  <si>
    <t>116_id70 v3</t>
  </si>
  <si>
    <t>FDN deficit (49.7%); P deficit (6.0%)</t>
  </si>
  <si>
    <t>67. Formulação ID 103: 2 24-2</t>
  </si>
  <si>
    <t>referencia_validada_exata:LIVRO-116</t>
  </si>
  <si>
    <t>115_id64</t>
  </si>
  <si>
    <t>teste 2 v2</t>
  </si>
  <si>
    <t>FDN deficit (45.0%); P deficit (2.0%)</t>
  </si>
  <si>
    <t>referencia_validada_exata:LIVRO-115</t>
  </si>
  <si>
    <t>114_id63</t>
  </si>
  <si>
    <t>113_id58</t>
  </si>
  <si>
    <t>Status</t>
  </si>
  <si>
    <t>Lote</t>
  </si>
  <si>
    <t>teste 3 v2</t>
  </si>
  <si>
    <t>FDN deficit (35.5%)</t>
  </si>
  <si>
    <t>Nº ingredientes</t>
  </si>
  <si>
    <t>referencia_validada_exata:LIVRO-113</t>
  </si>
  <si>
    <t>Nº travados</t>
  </si>
  <si>
    <t>Ingrediente removido</t>
  </si>
  <si>
    <t>Nº requisitos</t>
  </si>
  <si>
    <t>112_id57</t>
  </si>
  <si>
    <t>Modo persistido</t>
  </si>
  <si>
    <t>Alvo persistido (%)</t>
  </si>
  <si>
    <t>Volumoso persistido (%)</t>
  </si>
  <si>
    <t>Criada em</t>
  </si>
  <si>
    <t>Alterada em</t>
  </si>
  <si>
    <t>ATIVA</t>
  </si>
  <si>
    <t>leiteiras</t>
  </si>
  <si>
    <t>FDN deficit (48.2%); P deficit (0.6%)</t>
  </si>
  <si>
    <t>FIXADO_PELO_USUARIO</t>
  </si>
  <si>
    <t>referencia_validada_exata:LIVRO-112</t>
  </si>
  <si>
    <t>111_id53</t>
  </si>
  <si>
    <t>FDN deficit (49.0%); P deficit (8.0%)</t>
  </si>
  <si>
    <t>referencia_validada_exata:LIVRO-111</t>
  </si>
  <si>
    <t>lote para testes</t>
  </si>
  <si>
    <t>110_id52</t>
  </si>
  <si>
    <t>teste 4 v2</t>
  </si>
  <si>
    <t>FDN deficit (45.8%); P deficit (1.8%)</t>
  </si>
  <si>
    <t>referencia_validada_exata:LIVRO-110</t>
  </si>
  <si>
    <t>105_id26</t>
  </si>
  <si>
    <t>FDN deficit (39.6%)</t>
  </si>
  <si>
    <t>referencia_validada_exata:LIVRO-105</t>
  </si>
  <si>
    <t>104_id17</t>
  </si>
  <si>
    <t>teste 8</t>
  </si>
  <si>
    <t>FDN deficit (42.2%); P deficit (24.0%)</t>
  </si>
  <si>
    <t>referencia_validada_exata:LIVRO-104</t>
  </si>
  <si>
    <t>101_id12</t>
  </si>
  <si>
    <t>FDN deficit (42.4%); P deficit (22.8%)</t>
  </si>
  <si>
    <t>referencia_validada_exata:LIVRO-101</t>
  </si>
  <si>
    <t>98_id6</t>
  </si>
  <si>
    <t>FDN deficit (49.4%); P deficit (35.7%)</t>
  </si>
  <si>
    <t>referencia_validada_exata:LIVRO-098</t>
  </si>
  <si>
    <t>97_id4</t>
  </si>
  <si>
    <t>FDN deficit (42.5%); P deficit (20.3%)</t>
  </si>
  <si>
    <t>referencia_validada_exata:LIVRO-097</t>
  </si>
  <si>
    <t>20_id12</t>
  </si>
  <si>
    <t>FDN deficit (39.0%); P deficit (5.7%)</t>
  </si>
  <si>
    <t>referencia_validada_exata:LIVRO-020</t>
  </si>
  <si>
    <t>25_id1</t>
  </si>
  <si>
    <t>FDN deficit (29.5%)</t>
  </si>
  <si>
    <t>referencia_validada_exata:LIVRO-025</t>
  </si>
  <si>
    <t>54_id46</t>
  </si>
  <si>
    <t>referencia_validada_exata:LIVRO-054</t>
  </si>
  <si>
    <t>50_id44</t>
  </si>
  <si>
    <t>45_id43</t>
  </si>
  <si>
    <t>referencia_validada_exata:LIVRO-045</t>
  </si>
  <si>
    <t>40_id26</t>
  </si>
  <si>
    <t>referencia_validada_exata:LIVRO-040</t>
  </si>
  <si>
    <t>35_id17</t>
  </si>
  <si>
    <t>FDN deficit (31.1%)</t>
  </si>
  <si>
    <t>referencia_validada_exata:LIVRO-035</t>
  </si>
  <si>
    <t>30_id16</t>
  </si>
  <si>
    <t>FDN deficit (19.8%)</t>
  </si>
  <si>
    <t>referencia_validada_exata:LIVRO-030</t>
  </si>
  <si>
    <t>98_id6 v2</t>
  </si>
  <si>
    <t>58_id48</t>
  </si>
  <si>
    <t>FDN deficit (42.4%)</t>
  </si>
  <si>
    <t>P deficit (33.6%)</t>
  </si>
  <si>
    <t>P deficit (28.0%)</t>
  </si>
  <si>
    <t>P deficit (27.8%)</t>
  </si>
  <si>
    <t>OTIMIZADO_PELO_SISTEMA</t>
  </si>
  <si>
    <t>P deficit (27.7%)</t>
  </si>
  <si>
    <t>P deficit (28.4%)</t>
  </si>
  <si>
    <t>P deficit (28.1%)</t>
  </si>
  <si>
    <t>P deficit (33.5%)</t>
  </si>
  <si>
    <t>ovelhas inicio lac arroz farelo</t>
  </si>
  <si>
    <t>FDN deficit (44.3%)</t>
  </si>
  <si>
    <t>P deficit (28.6%)</t>
  </si>
  <si>
    <t>P deficit (27.6%)</t>
  </si>
  <si>
    <t>P deficit (21.2%)</t>
  </si>
  <si>
    <t>P deficit (21.7%)</t>
  </si>
  <si>
    <t>milho e soja</t>
  </si>
  <si>
    <t>FDN deficit (52.4%); P deficit (23.2%)</t>
  </si>
  <si>
    <t>referencia_validada_guia:LIVRO-003</t>
  </si>
  <si>
    <t>ovelha g tardia</t>
  </si>
  <si>
    <t>FDN deficit (53.0%); P deficit (12.5%)</t>
  </si>
  <si>
    <t>ovelha ini lactação</t>
  </si>
  <si>
    <t>FDN deficit (52.7%); P deficit (16.3%)</t>
  </si>
  <si>
    <t>creep feeding</t>
  </si>
  <si>
    <t>FDN deficit (37.5%)</t>
  </si>
  <si>
    <t>creep feedinf farelo de arroz</t>
  </si>
  <si>
    <t>FDN deficit (48.1%)</t>
  </si>
  <si>
    <t>creep feeding s/ trigo</t>
  </si>
  <si>
    <t>2 24-2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</si>
</sst>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dd/mm/yyyy hh:mm"/>
  </numFmts>
  <fonts count="15">
    <font>
      <sz val="11.0"/>
      <color rgb="FF000000"/>
      <name val="Carlito"/>
      <scheme val="minor"/>
    </font>
    <font>
      <b/>
      <sz val="16.0"/>
      <color rgb="FFFFFFFF"/>
      <name val="Play"/>
    </font>
    <font>
      <b/>
      <sz val="11.0"/>
      <color rgb="FFFFFFFF"/>
      <name val="Carlito"/>
    </font>
    <font>
      <sz val="9.0"/>
      <color rgb="FF24312B"/>
      <name val="Carlito"/>
    </font>
    <font/>
    <font>
      <b/>
      <sz val="10.0"/>
      <color rgb="FFFFFFFF"/>
      <name val="Aptos"/>
    </font>
    <font>
      <sz val="10.0"/>
      <color rgb="FF24312B"/>
      <name val="Aptos"/>
    </font>
    <font>
      <b/>
      <sz val="11.0"/>
      <color rgb="FF24312B"/>
      <name val="Carlito"/>
    </font>
    <font>
      <sz val="11.0"/>
      <color rgb="FF24312B"/>
      <name val="Carlito"/>
    </font>
    <font>
      <b/>
      <sz val="9.0"/>
      <color rgb="FF24312B"/>
      <name val="Carlito"/>
    </font>
    <font>
      <b/>
      <sz val="18.0"/>
      <color rgb="FFFFFFFF"/>
      <name val="Play"/>
    </font>
    <font>
      <i/>
      <sz val="11.0"/>
      <color rgb="FF4A4F4C"/>
      <name val="Carlito"/>
    </font>
    <font>
      <b/>
      <sz val="22.0"/>
      <color rgb="FF24312B"/>
      <name val="Carlito"/>
    </font>
    <font>
      <b/>
      <sz val="10.0"/>
      <color rgb="FF24312B"/>
      <name val="Aptos"/>
    </font>
    <font>
      <b/>
      <sz val="10.0"/>
      <color rgb="FFFFFF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24312B"/>
        <bgColor rgb="FF24312B"/>
      </patternFill>
    </fill>
    <fill>
      <patternFill patternType="solid">
        <fgColor rgb="FF4A4F4C"/>
        <bgColor rgb="FF4A4F4C"/>
      </patternFill>
    </fill>
    <fill>
      <patternFill patternType="solid">
        <fgColor rgb="FF0F6B62"/>
        <bgColor rgb="FF0F6B62"/>
      </patternFill>
    </fill>
    <fill>
      <patternFill patternType="solid">
        <fgColor rgb="FFF4F6F5"/>
        <bgColor rgb="FFF4F6F5"/>
      </patternFill>
    </fill>
    <fill>
      <patternFill patternType="solid">
        <fgColor rgb="FFD9DDDA"/>
        <bgColor rgb="FFD9DDDA"/>
      </patternFill>
    </fill>
    <fill>
      <patternFill patternType="solid">
        <fgColor rgb="FFE8F0F7"/>
        <bgColor rgb="FFE8F0F7"/>
      </patternFill>
    </fill>
    <fill>
      <patternFill patternType="solid">
        <fgColor rgb="FFDDEFE7"/>
        <bgColor rgb="FFDDEFE7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3">
    <border/>
    <border>
      <left style="thin">
        <color rgb="FFC7CECA"/>
      </left>
      <top style="thin">
        <color rgb="FFC7CECA"/>
      </top>
      <bottom style="thin">
        <color rgb="FFC7CECA"/>
      </bottom>
    </border>
    <border>
      <top style="thin">
        <color rgb="FFC7CECA"/>
      </top>
      <bottom style="thin">
        <color rgb="FFC7CECA"/>
      </bottom>
    </border>
    <border>
      <right style="thin">
        <color rgb="FFC7CECA"/>
      </right>
      <top style="thin">
        <color rgb="FFC7CECA"/>
      </top>
      <bottom style="thin">
        <color rgb="FFC7CECA"/>
      </bottom>
    </border>
    <border>
      <left style="thin">
        <color rgb="FFB8BFBB"/>
      </left>
      <right style="thin">
        <color rgb="FFB8BFBB"/>
      </right>
      <top style="thin">
        <color rgb="FFB8BFBB"/>
      </top>
      <bottom style="thin">
        <color rgb="FFB8BFBB"/>
      </bottom>
    </border>
    <border>
      <bottom style="thin">
        <color rgb="FFDDE2DF"/>
      </bottom>
    </border>
    <border>
      <top style="thin">
        <color rgb="FFDDE2DF"/>
      </top>
      <bottom style="thin">
        <color rgb="FFDDE2DF"/>
      </bottom>
    </border>
    <border>
      <top style="thin">
        <color rgb="FFDDE2DF"/>
      </top>
      <bottom style="thin">
        <color rgb="FFC7CECA"/>
      </bottom>
    </border>
    <border>
      <bottom style="double">
        <color rgb="FF4A4F4C"/>
      </bottom>
    </border>
    <border>
      <left style="thin">
        <color rgb="FFC7D4DE"/>
      </left>
      <right style="thin">
        <color rgb="FFC7D4DE"/>
      </right>
      <top style="thin">
        <color rgb="FFC7D4DE"/>
      </top>
      <bottom style="thin">
        <color rgb="FFC7D4DE"/>
      </bottom>
    </border>
    <border>
      <left style="thin">
        <color rgb="FFB8BFBB"/>
      </left>
      <top style="thin">
        <color rgb="FFB8BFBB"/>
      </top>
      <bottom style="thin">
        <color rgb="FFB8BFBB"/>
      </bottom>
    </border>
    <border>
      <top style="thin">
        <color rgb="FFB8BFBB"/>
      </top>
      <bottom style="thin">
        <color rgb="FFB8BFBB"/>
      </bottom>
    </border>
    <border>
      <right style="thin">
        <color rgb="FFB8BFBB"/>
      </right>
      <top style="thin">
        <color rgb="FFB8BFBB"/>
      </top>
      <bottom style="thin">
        <color rgb="FFB8BFBB"/>
      </bottom>
    </border>
    <border>
      <left style="medium">
        <color rgb="FFD9DDDA"/>
      </left>
      <top style="medium">
        <color rgb="FFD9DDDA"/>
      </top>
    </border>
    <border>
      <right style="medium">
        <color rgb="FFD9DDDA"/>
      </right>
      <top style="medium">
        <color rgb="FFD9DDDA"/>
      </top>
    </border>
    <border>
      <left style="medium">
        <color rgb="FFD9DDDA"/>
      </left>
      <bottom style="medium">
        <color rgb="FFD9DDDA"/>
      </bottom>
    </border>
    <border>
      <right style="medium">
        <color rgb="FFD9DDDA"/>
      </right>
      <bottom style="medium">
        <color rgb="FFD9DDDA"/>
      </bottom>
    </border>
    <border>
      <left style="thin">
        <color rgb="FFD6B656"/>
      </left>
      <top style="thin">
        <color rgb="FFD6B656"/>
      </top>
    </border>
    <border>
      <top style="thin">
        <color rgb="FFD6B656"/>
      </top>
    </border>
    <border>
      <right style="thin">
        <color rgb="FFD6B656"/>
      </right>
      <top style="thin">
        <color rgb="FFD6B656"/>
      </top>
    </border>
    <border>
      <left style="thin">
        <color rgb="FFD6B656"/>
      </left>
      <bottom style="thin">
        <color rgb="FFD6B656"/>
      </bottom>
    </border>
    <border>
      <bottom style="thin">
        <color rgb="FFD6B656"/>
      </bottom>
    </border>
    <border>
      <right style="thin">
        <color rgb="FFD6B656"/>
      </right>
      <bottom style="thin">
        <color rgb="FFD6B656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2" fontId="1" numFmtId="0" xfId="0" applyAlignment="1" applyFill="1" applyFont="1">
      <alignment vertical="center"/>
    </xf>
    <xf borderId="0" fillId="3" fontId="2" numFmtId="0" xfId="0" applyAlignment="1" applyFill="1" applyFont="1">
      <alignment vertical="center"/>
    </xf>
    <xf borderId="0" fillId="4" fontId="2" numFmtId="0" xfId="0" applyAlignment="1" applyFill="1" applyFont="1">
      <alignment vertical="center"/>
    </xf>
    <xf borderId="1" fillId="5" fontId="3" numFmtId="0" xfId="0" applyAlignment="1" applyBorder="1" applyFill="1" applyFont="1">
      <alignment shrinkToFit="0" wrapText="1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5" fillId="0" fontId="6" numFmtId="0" xfId="0" applyAlignment="1" applyBorder="1" applyFont="1">
      <alignment vertical="center"/>
    </xf>
    <xf borderId="5" fillId="0" fontId="6" numFmtId="164" xfId="0" applyAlignment="1" applyBorder="1" applyFont="1" applyNumberFormat="1">
      <alignment horizontal="right" vertical="center"/>
    </xf>
    <xf borderId="6" fillId="0" fontId="6" numFmtId="0" xfId="0" applyAlignment="1" applyBorder="1" applyFont="1">
      <alignment vertical="center"/>
    </xf>
    <xf borderId="6" fillId="0" fontId="6" numFmtId="164" xfId="0" applyAlignment="1" applyBorder="1" applyFont="1" applyNumberFormat="1">
      <alignment horizontal="right" vertical="center"/>
    </xf>
    <xf borderId="7" fillId="0" fontId="6" numFmtId="0" xfId="0" applyAlignment="1" applyBorder="1" applyFont="1">
      <alignment vertical="center"/>
    </xf>
    <xf borderId="7" fillId="0" fontId="6" numFmtId="164" xfId="0" applyAlignment="1" applyBorder="1" applyFont="1" applyNumberFormat="1">
      <alignment horizontal="right" vertical="center"/>
    </xf>
    <xf borderId="8" fillId="6" fontId="7" numFmtId="0" xfId="0" applyBorder="1" applyFill="1" applyFont="1"/>
    <xf borderId="8" fillId="0" fontId="4" numFmtId="0" xfId="0" applyBorder="1" applyFont="1"/>
    <xf borderId="8" fillId="6" fontId="7" numFmtId="164" xfId="0" applyBorder="1" applyFill="1" applyFont="1" applyNumberFormat="1"/>
    <xf borderId="9" fillId="7" fontId="7" numFmtId="164" xfId="0" applyBorder="1" applyFill="1" applyFont="1" applyNumberFormat="1"/>
    <xf borderId="9" fillId="7" fontId="8" numFmtId="164" xfId="0" applyBorder="1" applyFill="1" applyFont="1" applyNumberFormat="1"/>
    <xf borderId="0" fillId="8" fontId="9" numFmtId="0" xfId="0" applyAlignment="1" applyFill="1" applyFont="1">
      <alignment shrinkToFit="0" wrapText="1"/>
    </xf>
    <xf borderId="10" fillId="9" fontId="3" numFmtId="0" xfId="0" applyAlignment="1" applyBorder="1" applyFill="1" applyFont="1">
      <alignment shrinkToFit="0" wrapText="1"/>
    </xf>
    <xf borderId="11" fillId="0" fontId="4" numFmtId="0" xfId="0" applyBorder="1" applyFont="1"/>
    <xf borderId="12" fillId="0" fontId="4" numFmtId="0" xfId="0" applyBorder="1" applyFont="1"/>
    <xf borderId="0" fillId="9" fontId="9" numFmtId="0" xfId="0" applyAlignment="1" applyFill="1" applyFont="1">
      <alignment shrinkToFit="0" wrapText="1"/>
    </xf>
    <xf borderId="10" fillId="8" fontId="3" numFmtId="0" xfId="0" applyAlignment="1" applyBorder="1" applyFill="1" applyFont="1">
      <alignment shrinkToFit="0" wrapText="1"/>
    </xf>
    <xf borderId="0" fillId="2" fontId="10" numFmtId="0" xfId="0" applyAlignment="1" applyFill="1" applyFont="1">
      <alignment vertical="center"/>
    </xf>
    <xf borderId="0" fillId="5" fontId="11" numFmtId="0" xfId="0" applyAlignment="1" applyFill="1" applyFont="1">
      <alignment shrinkToFit="0" wrapText="1"/>
    </xf>
    <xf borderId="0" fillId="3" fontId="2" numFmtId="0" xfId="0" applyAlignment="1" applyFill="1" applyFont="1">
      <alignment horizontal="center"/>
    </xf>
    <xf borderId="0" fillId="3" fontId="2" numFmtId="0" xfId="0" applyAlignment="1" applyFill="1" applyFont="1">
      <alignment horizontal="center" readingOrder="0"/>
    </xf>
    <xf borderId="13" fillId="10" fontId="12" numFmtId="0" xfId="0" applyAlignment="1" applyBorder="1" applyFill="1" applyFont="1">
      <alignment horizontal="center" vertical="center"/>
    </xf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9" fontId="8" numFmtId="0" xfId="0" applyAlignment="1" applyBorder="1" applyFill="1" applyFont="1">
      <alignment shrinkToFit="0" vertical="center" wrapText="1"/>
    </xf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0" fontId="4" numFmtId="0" xfId="0" applyBorder="1" applyFont="1"/>
    <xf borderId="0" fillId="4" fontId="2" numFmtId="0" xfId="0" applyFill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0" fillId="3" fontId="2" numFmtId="0" xfId="0" applyFill="1" applyFont="1"/>
    <xf borderId="5" fillId="0" fontId="13" numFmtId="0" xfId="0" applyAlignment="1" applyBorder="1" applyFont="1">
      <alignment vertical="center"/>
    </xf>
    <xf borderId="6" fillId="0" fontId="13" numFmtId="0" xfId="0" applyAlignment="1" applyBorder="1" applyFont="1">
      <alignment vertical="center"/>
    </xf>
    <xf borderId="7" fillId="0" fontId="13" numFmtId="0" xfId="0" applyAlignment="1" applyBorder="1" applyFont="1">
      <alignment vertical="center"/>
    </xf>
    <xf borderId="4" fillId="2" fontId="5" numFmtId="0" xfId="0" applyAlignment="1" applyBorder="1" applyFill="1" applyFont="1">
      <alignment horizontal="center" readingOrder="0" shrinkToFit="0" vertical="center" wrapText="1"/>
    </xf>
    <xf borderId="4" fillId="2" fontId="14" numFmtId="0" xfId="0" applyAlignment="1" applyBorder="1" applyFill="1" applyFont="1">
      <alignment horizontal="center" readingOrder="0" shrinkToFit="0" vertical="center" wrapText="1"/>
    </xf>
    <xf borderId="6" fillId="0" fontId="6" numFmtId="0" xfId="0" applyAlignment="1" applyBorder="1" applyFont="1">
      <alignment shrinkToFit="0" vertical="center" wrapText="1"/>
    </xf>
    <xf borderId="6" fillId="0" fontId="6" numFmtId="164" xfId="0" applyAlignment="1" applyBorder="1" applyFont="1" applyNumberFormat="1">
      <alignment shrinkToFit="0" vertical="center" wrapText="1"/>
    </xf>
    <xf borderId="7" fillId="0" fontId="6" numFmtId="0" xfId="0" applyAlignment="1" applyBorder="1" applyFont="1">
      <alignment shrinkToFit="0" vertical="center" wrapText="1"/>
    </xf>
    <xf borderId="7" fillId="0" fontId="6" numFmtId="164" xfId="0" applyAlignment="1" applyBorder="1" applyFont="1" applyNumberFormat="1">
      <alignment shrinkToFit="0" vertical="center" wrapText="1"/>
    </xf>
    <xf borderId="5" fillId="0" fontId="6" numFmtId="0" xfId="0" applyAlignment="1" applyBorder="1" applyFont="1">
      <alignment shrinkToFit="0" vertical="center" wrapText="1"/>
    </xf>
    <xf borderId="5" fillId="0" fontId="6" numFmtId="164" xfId="0" applyAlignment="1" applyBorder="1" applyFont="1" applyNumberFormat="1">
      <alignment shrinkToFit="0" vertical="center" wrapText="1"/>
    </xf>
    <xf borderId="6" fillId="0" fontId="6" numFmtId="165" xfId="0" applyAlignment="1" applyBorder="1" applyFont="1" applyNumberFormat="1">
      <alignment shrinkToFit="0" vertical="center" wrapText="1"/>
    </xf>
    <xf borderId="7" fillId="0" fontId="6" numFmtId="165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B3261E"/>
      </font>
      <fill>
        <patternFill patternType="solid">
          <fgColor rgb="FFFDE7E9"/>
          <bgColor rgb="FFFDE7E9"/>
        </patternFill>
      </fill>
      <border/>
    </dxf>
    <dxf>
      <font>
        <b/>
        <color rgb="FF0F6B52"/>
      </font>
      <fill>
        <patternFill patternType="solid">
          <fgColor rgb="FFDDEFE7"/>
          <bgColor rgb="FFDDEFE7"/>
        </patternFill>
      </fill>
      <border/>
    </dxf>
    <dxf>
      <font>
        <color rgb="FF0F6B52"/>
      </font>
      <fill>
        <patternFill patternType="solid">
          <fgColor rgb="FFDDEFE7"/>
          <bgColor rgb="FFDDEFE7"/>
        </patternFill>
      </fill>
      <border/>
    </dxf>
  </dxfs>
  <tableStyles count="5">
    <tableStyle count="4" pivot="0" name="Comparativo Mis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dos Cenari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dos Ingredien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igenci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ditori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Execuções e cenários calculados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Execuções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Resumo!$A$13:$A$15</c:f>
            </c:strRef>
          </c:cat>
          <c:val>
            <c:numRef>
              <c:f>Resumo!$B$13:$B$15</c:f>
              <c:numCache/>
            </c:numRef>
          </c:val>
        </c:ser>
        <c:ser>
          <c:idx val="1"/>
          <c:order val="1"/>
          <c:tx>
            <c:v>Sucessos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Resumo!$A$13:$A$15</c:f>
            </c:strRef>
          </c:cat>
          <c:val>
            <c:numRef>
              <c:f>Resumo!$C$13:$C$15</c:f>
              <c:numCache/>
            </c:numRef>
          </c:val>
        </c:ser>
        <c:axId val="1841319416"/>
        <c:axId val="1231359653"/>
      </c:barChart>
      <c:catAx>
        <c:axId val="1841319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600">
                <a:solidFill>
                  <a:srgbClr val="000000"/>
                </a:solidFill>
                <a:latin typeface="+mn-lt"/>
              </a:defRPr>
            </a:pPr>
          </a:p>
        </c:txPr>
        <c:crossAx val="1231359653"/>
      </c:catAx>
      <c:valAx>
        <c:axId val="12313596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131941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11</xdr:row>
      <xdr:rowOff>0</xdr:rowOff>
    </xdr:from>
    <xdr:ext cx="8229600" cy="3400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Y17" displayName="TabelaComparativoMistas" name="TabelaComparativoMistas" id="1">
  <tableColumns count="25">
    <tableColumn name="ID" id="1"/>
    <tableColumn name="Título" id="2"/>
    <tableColumn name="Categoria" id="3"/>
    <tableColumn name="Status 50%" id="4"/>
    <tableColumn name="Status otimizada" id="5"/>
    <tableColumn name="Vol. fixo" id="6"/>
    <tableColumn name="Vol. otimizada" id="7"/>
    <tableColumn name="Δ vol." id="8"/>
    <tableColumn name="PB fixo" id="9"/>
    <tableColumn name="PB otimizada" id="10"/>
    <tableColumn name="Δ PB" id="11"/>
    <tableColumn name="NDT fixo" id="12"/>
    <tableColumn name="NDT otimizada" id="13"/>
    <tableColumn name="Δ NDT" id="14"/>
    <tableColumn name="FDN fixo" id="15"/>
    <tableColumn name="FDN otimizada" id="16"/>
    <tableColumn name="Δ FDN" id="17"/>
    <tableColumn name="Ca:P fixo" id="18"/>
    <tableColumn name="Ca:P otimizada" id="19"/>
    <tableColumn name="Faixa Ca:P fixo" id="20"/>
    <tableColumn name="Faixa Ca:P otimizada" id="21"/>
    <tableColumn name="Desvios fixo" id="22"/>
    <tableColumn name="Desvios otimizada" id="23"/>
    <tableColumn name="Δ desvios" id="24"/>
    <tableColumn name="Resultado nutricional" id="25"/>
  </tableColumns>
  <tableStyleInfo name="Comparativo Mistas-style" showColumnStripes="0" showFirstColumn="1" showLastColumn="1" showRowStripes="1"/>
</table>
</file>

<file path=xl/tables/table2.xml><?xml version="1.0" encoding="utf-8"?>
<table xmlns="http://schemas.openxmlformats.org/spreadsheetml/2006/main" ref="A1:AA95" displayName="TabelaCenarios" name="TabelaCenarios" id="2">
  <tableColumns count="27">
    <tableColumn name="Formulação ID" id="1"/>
    <tableColumn name="Título" id="2"/>
    <tableColumn name="Grupo" id="3"/>
    <tableColumn name="Cenário" id="4"/>
    <tableColumn name="Sucesso" id="5"/>
    <tableColumn name="Categoria" id="6"/>
    <tableColumn name="Fase" id="7"/>
    <tableColumn name="PV (kg)" id="8"/>
    <tableColumn name="GMD (kg/dia)" id="9"/>
    <tableColumn name="CMS (kg/dia)" id="10"/>
    <tableColumn name="Alvo volumoso (%)" id="11"/>
    <tableColumn name="Volumoso aplicado (%)" id="12"/>
    <tableColumn name="Concentrado aplicado (%)" id="13"/>
    <tableColumn name="Soma MS (%)" id="14"/>
    <tableColumn name="PB (%)" id="15"/>
    <tableColumn name="NDT (%)" id="16"/>
    <tableColumn name="FDN (%)" id="17"/>
    <tableColumn name="EE (%)" id="18"/>
    <tableColumn name="Ca (%)" id="19"/>
    <tableColumn name="P (%)" id="20"/>
    <tableColumn name="Ca:P" id="21"/>
    <tableColumn name="Status Ca:P" id="22"/>
    <tableColumn name="Nº desvios" id="23"/>
    <tableColumn name="Déficits/excessos" id="24"/>
    <tableColumn name="Motor convergiu" id="25"/>
    <tableColumn name="Origem do alvo" id="26"/>
    <tableColumn name="Erro" id="27"/>
  </tableColumns>
  <tableStyleInfo name="Dados Cenarios-style" showColumnStripes="0" showFirstColumn="1" showLastColumn="1" showRowStripes="1"/>
</table>
</file>

<file path=xl/tables/table3.xml><?xml version="1.0" encoding="utf-8"?>
<table xmlns="http://schemas.openxmlformats.org/spreadsheetml/2006/main" ref="A1:X541" displayName="TabelaIngredientesCenarios" name="TabelaIngredientesCenarios" id="3">
  <tableColumns count="24">
    <tableColumn name="Formulação ID" id="1"/>
    <tableColumn name="Cenário" id="2"/>
    <tableColumn name="Ingrediente ID" id="3"/>
    <tableColumn name="Tipo" id="4"/>
    <tableColumn name="Ingrediente" id="5"/>
    <tableColumn name="Classificação" id="6"/>
    <tableColumn name="Origem participação" id="7"/>
    <tableColumn name="% MS persistida" id="8"/>
    <tableColumn name="% MS recalculada" id="9"/>
    <tableColumn name="MS ingrediente (%)" id="10"/>
    <tableColumn name="MN (100 kg)" id="11"/>
    <tableColumn name="MN (300 kg)" id="12"/>
    <tableColumn name="PB ing. (%)" id="13"/>
    <tableColumn name="NDT ing. (%)" id="14"/>
    <tableColumn name="FDN ing. (%)" id="15"/>
    <tableColumn name="EE ing. (%)" id="16"/>
    <tableColumn name="Ca ing. (%)" id="17"/>
    <tableColumn name="P ing. (%)" id="18"/>
    <tableColumn name="Contrib. PB" id="19"/>
    <tableColumn name="Contrib. NDT" id="20"/>
    <tableColumn name="Contrib. FDN" id="21"/>
    <tableColumn name="Contrib. EE" id="22"/>
    <tableColumn name="Contrib. Ca" id="23"/>
    <tableColumn name="Contrib. P" id="24"/>
  </tableColumns>
  <tableStyleInfo name="Dados Ingredientes-style" showColumnStripes="0" showFirstColumn="1" showLastColumn="1" showRowStripes="1"/>
</table>
</file>

<file path=xl/tables/table4.xml><?xml version="1.0" encoding="utf-8"?>
<table xmlns="http://schemas.openxmlformats.org/spreadsheetml/2006/main" ref="A1:J624" displayName="TabelaExigencias" name="TabelaExigencias" id="4">
  <tableColumns count="10">
    <tableColumn name="Formulação ID" id="1"/>
    <tableColumn name="Título" id="2"/>
    <tableColumn name="Categoria" id="3"/>
    <tableColumn name="Fase" id="4"/>
    <tableColumn name="Nutriente" id="5"/>
    <tableColumn name="Operador" id="6"/>
    <tableColumn name="Valor mín. (% MS)" id="7"/>
    <tableColumn name="Valor máx. (% MS)" id="8"/>
    <tableColumn name="Origem NRC (% MS)" id="9"/>
    <tableColumn name="Alterado pelo usuário" id="10"/>
  </tableColumns>
  <tableStyleInfo name="Exigencias-style" showColumnStripes="0" showFirstColumn="1" showLastColumn="1" showRowStripes="1"/>
</table>
</file>

<file path=xl/tables/table5.xml><?xml version="1.0" encoding="utf-8"?>
<table xmlns="http://schemas.openxmlformats.org/spreadsheetml/2006/main" ref="A1:S74" displayName="TabelaAuditoria" name="TabelaAuditoria" id="5">
  <tableColumns count="19">
    <tableColumn name="Formulação ID" id="1"/>
    <tableColumn name="Título" id="2"/>
    <tableColumn name="Grupo" id="3"/>
    <tableColumn name="Status" id="4"/>
    <tableColumn name="Lote" id="5"/>
    <tableColumn name="Categoria" id="6"/>
    <tableColumn name="Fase" id="7"/>
    <tableColumn name="PV (kg)" id="8"/>
    <tableColumn name="GMD (kg/dia)" id="9"/>
    <tableColumn name="CMS (kg/dia)" id="10"/>
    <tableColumn name="Nº ingredientes" id="11"/>
    <tableColumn name="Nº travados" id="12"/>
    <tableColumn name="Ingrediente removido" id="13"/>
    <tableColumn name="Nº requisitos" id="14"/>
    <tableColumn name="Modo persistido" id="15"/>
    <tableColumn name="Alvo persistido (%)" id="16"/>
    <tableColumn name="Volumoso persistido (%)" id="17"/>
    <tableColumn name="Criada em" id="18"/>
    <tableColumn name="Alterada em" id="19"/>
  </tableColumns>
  <tableStyleInfo name="Auditor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4.0"/>
    <col customWidth="1" min="2" max="2" width="34.0"/>
    <col customWidth="1" min="3" max="3" width="12.0"/>
    <col customWidth="1" min="4" max="5" width="18.0"/>
    <col customWidth="1" min="6" max="6" width="14.0"/>
    <col customWidth="1" min="7" max="8" width="18.0"/>
    <col customWidth="1" min="9" max="9" width="4.0"/>
    <col customWidth="1" min="10" max="10" width="18.0"/>
    <col customWidth="1" min="11" max="11" width="33.5"/>
    <col customWidth="1" min="12" max="12" width="4.0"/>
    <col customWidth="1" min="13" max="13" width="0.38"/>
    <col customWidth="1" min="14" max="26" width="8.63"/>
  </cols>
  <sheetData>
    <row r="1" ht="31.5" customHeight="1">
      <c r="A1" s="27" t="s">
        <v>57</v>
      </c>
    </row>
    <row r="2" ht="27.75" customHeight="1">
      <c r="A2" s="28" t="s">
        <v>58</v>
      </c>
    </row>
    <row r="4">
      <c r="A4" s="29" t="s">
        <v>59</v>
      </c>
      <c r="D4" s="29" t="s">
        <v>61</v>
      </c>
      <c r="G4" s="29" t="s">
        <v>63</v>
      </c>
      <c r="J4" s="30" t="s">
        <v>64</v>
      </c>
    </row>
    <row r="5">
      <c r="A5" s="31">
        <f>COUNTA(Auditoria!A2:A74)</f>
        <v>73</v>
      </c>
      <c r="B5" s="32"/>
      <c r="D5" s="31">
        <f>COUNTIF(Auditoria!C2:C74,"CONCENTRADO")</f>
        <v>54</v>
      </c>
      <c r="E5" s="32"/>
      <c r="G5" s="31">
        <f>COUNTIF(Auditoria!C2:C74,"MISTA")</f>
        <v>18</v>
      </c>
      <c r="H5" s="32"/>
      <c r="J5" s="31">
        <f>COUNTIF('Dados Cenarios'!E2:E95,"SIM")</f>
        <v>94</v>
      </c>
      <c r="K5" s="32"/>
    </row>
    <row r="6">
      <c r="A6" s="33"/>
      <c r="B6" s="34"/>
      <c r="D6" s="33"/>
      <c r="E6" s="34"/>
      <c r="G6" s="33"/>
      <c r="H6" s="34"/>
      <c r="J6" s="33"/>
      <c r="K6" s="34"/>
    </row>
    <row r="8">
      <c r="A8" s="35" t="s">
        <v>71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7"/>
    </row>
    <row r="9">
      <c r="A9" s="38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40"/>
    </row>
    <row r="12">
      <c r="A12" s="8" t="s">
        <v>73</v>
      </c>
      <c r="B12" s="8" t="s">
        <v>74</v>
      </c>
      <c r="C12" s="8" t="s">
        <v>75</v>
      </c>
      <c r="D12" s="8" t="s">
        <v>77</v>
      </c>
    </row>
    <row r="13">
      <c r="A13" s="10" t="s">
        <v>61</v>
      </c>
      <c r="B13" s="10">
        <f>COUNTIF('Dados Cenarios'!D2:D95,"100% concentrado")</f>
        <v>56</v>
      </c>
      <c r="C13" s="10">
        <f>COUNTIFS('Dados Cenarios'!D2:D95,"100% concentrado",'Dados Cenarios'!E2:E95,"SIM")</f>
        <v>56</v>
      </c>
      <c r="D13" s="10">
        <f t="shared" ref="D13:D15" si="1">B13-C13</f>
        <v>0</v>
      </c>
    </row>
    <row r="14">
      <c r="A14" s="12" t="s">
        <v>81</v>
      </c>
      <c r="B14" s="12">
        <f>COUNTIF('Dados Cenarios'!D2:D95,"Mista - 50% volumoso fixo")</f>
        <v>19</v>
      </c>
      <c r="C14" s="12">
        <f>COUNTIFS('Dados Cenarios'!D2:D95,"Mista - 50% volumoso fixo",'Dados Cenarios'!E2:E95,"SIM")</f>
        <v>19</v>
      </c>
      <c r="D14" s="12">
        <f t="shared" si="1"/>
        <v>0</v>
      </c>
    </row>
    <row r="15">
      <c r="A15" s="14" t="s">
        <v>82</v>
      </c>
      <c r="B15" s="14">
        <f>COUNTIF('Dados Cenarios'!D2:D95,"Mista - geração otimizada")</f>
        <v>19</v>
      </c>
      <c r="C15" s="14">
        <f>COUNTIFS('Dados Cenarios'!D2:D95,"Mista - geração otimizada",'Dados Cenarios'!E2:E95,"SIM")</f>
        <v>19</v>
      </c>
      <c r="D15" s="14">
        <f t="shared" si="1"/>
        <v>0</v>
      </c>
    </row>
    <row r="18">
      <c r="A18" s="41" t="s">
        <v>87</v>
      </c>
    </row>
    <row r="19">
      <c r="A19" s="10" t="s">
        <v>61</v>
      </c>
      <c r="B19" s="10" t="s">
        <v>88</v>
      </c>
      <c r="C19" s="42"/>
      <c r="D19" s="42"/>
    </row>
    <row r="20">
      <c r="A20" s="12" t="s">
        <v>81</v>
      </c>
      <c r="B20" s="12" t="s">
        <v>89</v>
      </c>
      <c r="C20" s="43"/>
      <c r="D20" s="43"/>
    </row>
    <row r="21" ht="15.75" customHeight="1">
      <c r="A21" s="12" t="s">
        <v>82</v>
      </c>
      <c r="B21" s="12" t="s">
        <v>90</v>
      </c>
      <c r="C21" s="43"/>
      <c r="D21" s="43"/>
    </row>
    <row r="22" ht="15.75" customHeight="1">
      <c r="A22" s="12" t="s">
        <v>91</v>
      </c>
      <c r="B22" s="12" t="s">
        <v>92</v>
      </c>
      <c r="C22" s="43"/>
      <c r="D22" s="43"/>
    </row>
    <row r="23" ht="15.75" customHeight="1">
      <c r="A23" s="14" t="s">
        <v>93</v>
      </c>
      <c r="B23" s="14" t="s">
        <v>94</v>
      </c>
      <c r="C23" s="44"/>
      <c r="D23" s="44"/>
    </row>
    <row r="24" ht="15.75" customHeight="1"/>
    <row r="25" ht="15.75" customHeight="1"/>
    <row r="26" ht="15.75" customHeight="1">
      <c r="A26" s="45" t="s">
        <v>95</v>
      </c>
    </row>
    <row r="27" ht="15.75" customHeight="1">
      <c r="A27" s="46" t="s">
        <v>96</v>
      </c>
      <c r="B27" s="10" t="s">
        <v>98</v>
      </c>
    </row>
    <row r="28" ht="15.75" customHeight="1">
      <c r="A28" s="47" t="s">
        <v>81</v>
      </c>
      <c r="B28" s="12" t="s">
        <v>99</v>
      </c>
    </row>
    <row r="29" ht="15.75" customHeight="1">
      <c r="A29" s="47" t="s">
        <v>100</v>
      </c>
      <c r="B29" s="12" t="s">
        <v>102</v>
      </c>
    </row>
    <row r="30" ht="15.75" customHeight="1">
      <c r="A30" s="47" t="s">
        <v>103</v>
      </c>
      <c r="B30" s="12" t="s">
        <v>104</v>
      </c>
    </row>
    <row r="31" ht="15.75" customHeight="1">
      <c r="A31" s="47" t="s">
        <v>105</v>
      </c>
      <c r="B31" s="12" t="s">
        <v>106</v>
      </c>
    </row>
    <row r="32" ht="15.75" customHeight="1">
      <c r="A32" s="47" t="s">
        <v>107</v>
      </c>
      <c r="B32" s="12" t="s">
        <v>108</v>
      </c>
    </row>
    <row r="33" ht="15.75" customHeight="1">
      <c r="A33" s="47" t="s">
        <v>110</v>
      </c>
      <c r="B33" s="12" t="s">
        <v>111</v>
      </c>
    </row>
    <row r="34" ht="15.75" customHeight="1">
      <c r="A34" s="48" t="s">
        <v>113</v>
      </c>
      <c r="B34" s="14" t="s">
        <v>114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J5:K6"/>
    <mergeCell ref="A8:M9"/>
    <mergeCell ref="A1:M1"/>
    <mergeCell ref="A2:M2"/>
    <mergeCell ref="A4:B4"/>
    <mergeCell ref="D4:E4"/>
    <mergeCell ref="J4:K4"/>
    <mergeCell ref="A5:B6"/>
    <mergeCell ref="D5:E6"/>
    <mergeCell ref="B23:D23"/>
    <mergeCell ref="A26:M26"/>
    <mergeCell ref="G4:H4"/>
    <mergeCell ref="G5:H6"/>
    <mergeCell ref="A18:D18"/>
    <mergeCell ref="B19:D19"/>
    <mergeCell ref="B20:D20"/>
    <mergeCell ref="B21:D21"/>
    <mergeCell ref="B22:D2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30.0"/>
    <col customWidth="1" min="3" max="3" width="10.0"/>
    <col customWidth="1" min="4" max="4" width="12.0"/>
    <col customWidth="1" min="5" max="6" width="16.0"/>
    <col customWidth="1" min="7" max="7" width="14.0"/>
    <col customWidth="1" min="8" max="26" width="8.63"/>
  </cols>
  <sheetData>
    <row r="1" ht="27.75" customHeight="1">
      <c r="A1" s="2" t="s">
        <v>6</v>
      </c>
    </row>
    <row r="2" ht="15.75" customHeight="1"/>
    <row r="3" ht="22.5" customHeight="1">
      <c r="A3" s="3" t="s">
        <v>7</v>
      </c>
    </row>
    <row r="4" ht="15.75" customHeight="1">
      <c r="A4" s="5" t="s">
        <v>8</v>
      </c>
      <c r="B4" s="6"/>
      <c r="C4" s="6"/>
      <c r="D4" s="6"/>
      <c r="E4" s="6"/>
      <c r="F4" s="6"/>
      <c r="G4" s="7"/>
    </row>
    <row r="5" ht="30.0" customHeight="1">
      <c r="A5" s="8" t="s">
        <v>9</v>
      </c>
      <c r="B5" s="8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8" t="s">
        <v>15</v>
      </c>
    </row>
    <row r="6" ht="15.75" customHeight="1">
      <c r="A6" s="10" t="s">
        <v>16</v>
      </c>
      <c r="B6" s="10" t="s">
        <v>17</v>
      </c>
      <c r="C6" s="11">
        <v>9.12</v>
      </c>
      <c r="D6" s="11">
        <v>88.05</v>
      </c>
      <c r="E6" s="11">
        <f t="shared" ref="E6:E9" si="1">IF(D6&gt;0,(C6/D6)/SUMPRODUCT($C$6:$C$9/$D$6:$D$9)*100,"")</f>
        <v>9.131621776</v>
      </c>
      <c r="F6" s="11">
        <f t="shared" ref="F6:F9" si="2">IF(E6&lt;&gt;"",E6*3,"")</f>
        <v>27.39486533</v>
      </c>
      <c r="G6" s="10" t="s">
        <v>21</v>
      </c>
    </row>
    <row r="7" ht="15.75" customHeight="1">
      <c r="A7" s="12" t="s">
        <v>16</v>
      </c>
      <c r="B7" s="12" t="s">
        <v>19</v>
      </c>
      <c r="C7" s="13">
        <v>66.26</v>
      </c>
      <c r="D7" s="13">
        <v>87.78</v>
      </c>
      <c r="E7" s="13">
        <f t="shared" si="1"/>
        <v>66.54850324</v>
      </c>
      <c r="F7" s="13">
        <f t="shared" si="2"/>
        <v>199.6455097</v>
      </c>
      <c r="G7" s="12" t="s">
        <v>21</v>
      </c>
    </row>
    <row r="8" ht="15.75" customHeight="1">
      <c r="A8" s="12" t="s">
        <v>22</v>
      </c>
      <c r="B8" s="12" t="s">
        <v>23</v>
      </c>
      <c r="C8" s="13">
        <v>22.76</v>
      </c>
      <c r="D8" s="13">
        <v>88.48</v>
      </c>
      <c r="E8" s="13">
        <f t="shared" si="1"/>
        <v>22.67825221</v>
      </c>
      <c r="F8" s="13">
        <f t="shared" si="2"/>
        <v>68.03475662</v>
      </c>
      <c r="G8" s="12" t="s">
        <v>21</v>
      </c>
    </row>
    <row r="9" ht="15.75" customHeight="1">
      <c r="A9" s="14" t="s">
        <v>24</v>
      </c>
      <c r="B9" s="14" t="s">
        <v>26</v>
      </c>
      <c r="C9" s="15">
        <v>1.86</v>
      </c>
      <c r="D9" s="15">
        <v>99.89</v>
      </c>
      <c r="E9" s="15">
        <f t="shared" si="1"/>
        <v>1.641622773</v>
      </c>
      <c r="F9" s="15">
        <f t="shared" si="2"/>
        <v>4.924868319</v>
      </c>
      <c r="G9" s="14" t="s">
        <v>21</v>
      </c>
    </row>
    <row r="10" ht="15.75" customHeight="1">
      <c r="A10" s="16" t="s">
        <v>27</v>
      </c>
      <c r="B10" s="17"/>
      <c r="C10" s="18">
        <f>SUM(C6:C9)</f>
        <v>100</v>
      </c>
      <c r="D10" s="18"/>
      <c r="E10" s="18">
        <f t="shared" ref="E10:F10" si="3">SUM(E6:E9)</f>
        <v>100</v>
      </c>
      <c r="F10" s="18">
        <f t="shared" si="3"/>
        <v>300</v>
      </c>
      <c r="G10" s="16"/>
    </row>
    <row r="11" ht="15.75" customHeight="1">
      <c r="A11" s="19" t="s">
        <v>33</v>
      </c>
      <c r="B11" s="20">
        <v>18.688779999999998</v>
      </c>
      <c r="C11" s="19" t="s">
        <v>35</v>
      </c>
      <c r="D11" s="20">
        <v>81.88474599999999</v>
      </c>
      <c r="E11" s="19" t="s">
        <v>36</v>
      </c>
      <c r="F11" s="20">
        <v>17.042178000000003</v>
      </c>
      <c r="G11" s="19"/>
    </row>
    <row r="12" ht="15.75" customHeight="1">
      <c r="A12" s="19" t="s">
        <v>37</v>
      </c>
      <c r="B12" s="20">
        <v>0.8070240000000001</v>
      </c>
      <c r="C12" s="19" t="s">
        <v>38</v>
      </c>
      <c r="D12" s="20">
        <v>0.38220800000000005</v>
      </c>
      <c r="E12" s="19" t="s">
        <v>39</v>
      </c>
      <c r="F12" s="20">
        <v>2.1114785666443403</v>
      </c>
      <c r="G12" s="19"/>
    </row>
    <row r="13" ht="15.75" customHeight="1">
      <c r="A13" s="19" t="s">
        <v>40</v>
      </c>
      <c r="B13" s="20">
        <v>3.494464</v>
      </c>
      <c r="C13" s="19" t="s">
        <v>41</v>
      </c>
      <c r="D13" s="20">
        <v>0.0</v>
      </c>
      <c r="E13" s="19" t="s">
        <v>42</v>
      </c>
      <c r="F13" s="20">
        <v>2.0</v>
      </c>
      <c r="G13" s="19"/>
    </row>
    <row r="14" ht="15.75" customHeight="1">
      <c r="A14" s="21" t="s">
        <v>44</v>
      </c>
    </row>
    <row r="15" ht="30.0" customHeight="1">
      <c r="A15" s="22" t="s">
        <v>46</v>
      </c>
      <c r="B15" s="23"/>
      <c r="C15" s="23"/>
      <c r="D15" s="23"/>
      <c r="E15" s="23"/>
      <c r="F15" s="23"/>
      <c r="G15" s="24"/>
    </row>
    <row r="16" ht="15.75" customHeight="1"/>
    <row r="17" ht="22.5" customHeight="1">
      <c r="A17" s="3" t="s">
        <v>47</v>
      </c>
    </row>
    <row r="18" ht="15.75" customHeight="1">
      <c r="A18" s="5" t="s">
        <v>8</v>
      </c>
      <c r="B18" s="6"/>
      <c r="C18" s="6"/>
      <c r="D18" s="6"/>
      <c r="E18" s="6"/>
      <c r="F18" s="6"/>
      <c r="G18" s="7"/>
    </row>
    <row r="19" ht="30.0" customHeight="1">
      <c r="A19" s="8" t="s">
        <v>9</v>
      </c>
      <c r="B19" s="8" t="s">
        <v>10</v>
      </c>
      <c r="C19" s="8" t="s">
        <v>11</v>
      </c>
      <c r="D19" s="8" t="s">
        <v>12</v>
      </c>
      <c r="E19" s="8" t="s">
        <v>13</v>
      </c>
      <c r="F19" s="8" t="s">
        <v>14</v>
      </c>
      <c r="G19" s="8" t="s">
        <v>15</v>
      </c>
    </row>
    <row r="20" ht="15.75" customHeight="1">
      <c r="A20" s="10" t="s">
        <v>16</v>
      </c>
      <c r="B20" s="10" t="s">
        <v>19</v>
      </c>
      <c r="C20" s="11">
        <v>40.27</v>
      </c>
      <c r="D20" s="11">
        <v>87.78</v>
      </c>
      <c r="E20" s="11">
        <f t="shared" ref="E20:E23" si="4">IF(D20&gt;0,(C20/D20)/SUMPRODUCT($C$20:$C$23/$D$20:$D$23)*100,"")</f>
        <v>40.90042909</v>
      </c>
      <c r="F20" s="11">
        <f t="shared" ref="F20:F23" si="5">IF(E20&lt;&gt;"",E20*3,"")</f>
        <v>122.7012873</v>
      </c>
      <c r="G20" s="10" t="s">
        <v>21</v>
      </c>
    </row>
    <row r="21" ht="15.75" customHeight="1">
      <c r="A21" s="12" t="s">
        <v>16</v>
      </c>
      <c r="B21" s="12" t="s">
        <v>52</v>
      </c>
      <c r="C21" s="13">
        <v>38.47</v>
      </c>
      <c r="D21" s="13">
        <v>90.57</v>
      </c>
      <c r="E21" s="13">
        <f t="shared" si="4"/>
        <v>37.86863315</v>
      </c>
      <c r="F21" s="13">
        <f t="shared" si="5"/>
        <v>113.6058994</v>
      </c>
      <c r="G21" s="12" t="s">
        <v>21</v>
      </c>
    </row>
    <row r="22" ht="15.75" customHeight="1">
      <c r="A22" s="12" t="s">
        <v>22</v>
      </c>
      <c r="B22" s="12" t="s">
        <v>23</v>
      </c>
      <c r="C22" s="13">
        <v>19.6</v>
      </c>
      <c r="D22" s="13">
        <v>88.48</v>
      </c>
      <c r="E22" s="13">
        <f t="shared" si="4"/>
        <v>19.74934828</v>
      </c>
      <c r="F22" s="13">
        <f t="shared" si="5"/>
        <v>59.24804483</v>
      </c>
      <c r="G22" s="12" t="s">
        <v>21</v>
      </c>
    </row>
    <row r="23" ht="15.75" customHeight="1">
      <c r="A23" s="14" t="s">
        <v>24</v>
      </c>
      <c r="B23" s="14" t="s">
        <v>26</v>
      </c>
      <c r="C23" s="15">
        <v>1.66</v>
      </c>
      <c r="D23" s="15">
        <v>99.89</v>
      </c>
      <c r="E23" s="15">
        <f t="shared" si="4"/>
        <v>1.481589482</v>
      </c>
      <c r="F23" s="15">
        <f t="shared" si="5"/>
        <v>4.444768445</v>
      </c>
      <c r="G23" s="14" t="s">
        <v>21</v>
      </c>
    </row>
    <row r="24" ht="15.75" customHeight="1">
      <c r="A24" s="16" t="s">
        <v>27</v>
      </c>
      <c r="B24" s="17"/>
      <c r="C24" s="18">
        <f>SUM(C20:C23)</f>
        <v>100</v>
      </c>
      <c r="D24" s="18"/>
      <c r="E24" s="18">
        <f t="shared" ref="E24:F24" si="6">SUM(E20:E23)</f>
        <v>100</v>
      </c>
      <c r="F24" s="18">
        <f t="shared" si="6"/>
        <v>300</v>
      </c>
      <c r="G24" s="16"/>
    </row>
    <row r="25" ht="15.75" customHeight="1">
      <c r="A25" s="19" t="s">
        <v>33</v>
      </c>
      <c r="B25" s="20">
        <v>18.688117000000002</v>
      </c>
      <c r="C25" s="19" t="s">
        <v>35</v>
      </c>
      <c r="D25" s="20">
        <v>79.41218900000001</v>
      </c>
      <c r="E25" s="19" t="s">
        <v>36</v>
      </c>
      <c r="F25" s="20">
        <v>19.459716000000004</v>
      </c>
      <c r="G25" s="19"/>
    </row>
    <row r="26" ht="15.75" customHeight="1">
      <c r="A26" s="19" t="s">
        <v>37</v>
      </c>
      <c r="B26" s="20">
        <v>0.7467820000000001</v>
      </c>
      <c r="C26" s="19" t="s">
        <v>38</v>
      </c>
      <c r="D26" s="20">
        <v>0.347206</v>
      </c>
      <c r="E26" s="19" t="s">
        <v>39</v>
      </c>
      <c r="F26" s="20">
        <v>2.150832646901263</v>
      </c>
      <c r="G26" s="19"/>
    </row>
    <row r="27" ht="15.75" customHeight="1">
      <c r="A27" s="19" t="s">
        <v>40</v>
      </c>
      <c r="B27" s="20">
        <v>3.999797</v>
      </c>
      <c r="C27" s="19" t="s">
        <v>41</v>
      </c>
      <c r="D27" s="20">
        <v>0.0</v>
      </c>
      <c r="E27" s="19" t="s">
        <v>42</v>
      </c>
      <c r="F27" s="20">
        <v>2.0</v>
      </c>
      <c r="G27" s="19"/>
    </row>
    <row r="28" ht="15.75" customHeight="1">
      <c r="A28" s="21" t="s">
        <v>53</v>
      </c>
    </row>
    <row r="29" ht="30.0" customHeight="1">
      <c r="A29" s="22" t="s">
        <v>54</v>
      </c>
      <c r="B29" s="23"/>
      <c r="C29" s="23"/>
      <c r="D29" s="23"/>
      <c r="E29" s="23"/>
      <c r="F29" s="23"/>
      <c r="G29" s="24"/>
    </row>
    <row r="30" ht="15.75" customHeight="1"/>
    <row r="31" ht="22.5" customHeight="1">
      <c r="A31" s="3" t="s">
        <v>55</v>
      </c>
    </row>
    <row r="32" ht="15.75" customHeight="1">
      <c r="A32" s="5" t="s">
        <v>56</v>
      </c>
      <c r="B32" s="6"/>
      <c r="C32" s="6"/>
      <c r="D32" s="6"/>
      <c r="E32" s="6"/>
      <c r="F32" s="6"/>
      <c r="G32" s="7"/>
    </row>
    <row r="33" ht="30.0" customHeight="1">
      <c r="A33" s="8" t="s">
        <v>9</v>
      </c>
      <c r="B33" s="8" t="s">
        <v>10</v>
      </c>
      <c r="C33" s="8" t="s">
        <v>11</v>
      </c>
      <c r="D33" s="8" t="s">
        <v>12</v>
      </c>
      <c r="E33" s="8" t="s">
        <v>13</v>
      </c>
      <c r="F33" s="8" t="s">
        <v>14</v>
      </c>
      <c r="G33" s="8" t="s">
        <v>15</v>
      </c>
    </row>
    <row r="34" ht="15.75" customHeight="1">
      <c r="A34" s="10" t="s">
        <v>16</v>
      </c>
      <c r="B34" s="10" t="s">
        <v>17</v>
      </c>
      <c r="C34" s="11">
        <v>20.13</v>
      </c>
      <c r="D34" s="11">
        <v>88.05</v>
      </c>
      <c r="E34" s="11">
        <f t="shared" ref="E34:E37" si="7">IF(D34&gt;0,(C34/D34)/SUMPRODUCT($C$34:$C$37/$D$34:$D$37)*100,"")</f>
        <v>20.19301001</v>
      </c>
      <c r="F34" s="11">
        <f t="shared" ref="F34:F37" si="8">IF(E34&lt;&gt;"",E34*3,"")</f>
        <v>60.57903004</v>
      </c>
      <c r="G34" s="10" t="s">
        <v>21</v>
      </c>
    </row>
    <row r="35" ht="15.75" customHeight="1">
      <c r="A35" s="12" t="s">
        <v>16</v>
      </c>
      <c r="B35" s="12" t="s">
        <v>19</v>
      </c>
      <c r="C35" s="13">
        <v>42.68</v>
      </c>
      <c r="D35" s="13">
        <v>87.78</v>
      </c>
      <c r="E35" s="13">
        <f t="shared" si="7"/>
        <v>42.94528412</v>
      </c>
      <c r="F35" s="13">
        <f t="shared" si="8"/>
        <v>128.8358524</v>
      </c>
      <c r="G35" s="12" t="s">
        <v>21</v>
      </c>
    </row>
    <row r="36" ht="15.75" customHeight="1">
      <c r="A36" s="12" t="s">
        <v>22</v>
      </c>
      <c r="B36" s="12" t="s">
        <v>23</v>
      </c>
      <c r="C36" s="13">
        <v>34.88</v>
      </c>
      <c r="D36" s="13">
        <v>88.48</v>
      </c>
      <c r="E36" s="13">
        <f t="shared" si="7"/>
        <v>34.81913745</v>
      </c>
      <c r="F36" s="13">
        <f t="shared" si="8"/>
        <v>104.4574123</v>
      </c>
      <c r="G36" s="12" t="s">
        <v>21</v>
      </c>
    </row>
    <row r="37" ht="15.75" customHeight="1">
      <c r="A37" s="14" t="s">
        <v>24</v>
      </c>
      <c r="B37" s="14" t="s">
        <v>26</v>
      </c>
      <c r="C37" s="15">
        <v>2.31</v>
      </c>
      <c r="D37" s="15">
        <v>99.89</v>
      </c>
      <c r="E37" s="15">
        <f t="shared" si="7"/>
        <v>2.042568419</v>
      </c>
      <c r="F37" s="15">
        <f t="shared" si="8"/>
        <v>6.127705257</v>
      </c>
      <c r="G37" s="14" t="s">
        <v>21</v>
      </c>
    </row>
    <row r="38" ht="15.75" customHeight="1">
      <c r="A38" s="16" t="s">
        <v>27</v>
      </c>
      <c r="B38" s="17"/>
      <c r="C38" s="18">
        <f>SUM(C34:C37)</f>
        <v>100</v>
      </c>
      <c r="D38" s="18"/>
      <c r="E38" s="18">
        <f t="shared" ref="E38:F38" si="9">SUM(E34:E37)</f>
        <v>100</v>
      </c>
      <c r="F38" s="18">
        <f t="shared" si="9"/>
        <v>300</v>
      </c>
      <c r="G38" s="16"/>
    </row>
    <row r="39" ht="15.75" customHeight="1">
      <c r="A39" s="19" t="s">
        <v>33</v>
      </c>
      <c r="B39" s="20">
        <v>24.337623999999998</v>
      </c>
      <c r="C39" s="19" t="s">
        <v>35</v>
      </c>
      <c r="D39" s="20">
        <v>79.23898299999999</v>
      </c>
      <c r="E39" s="19" t="s">
        <v>36</v>
      </c>
      <c r="F39" s="20">
        <v>20.351855999999998</v>
      </c>
      <c r="G39" s="19"/>
    </row>
    <row r="40" ht="15.75" customHeight="1">
      <c r="A40" s="19" t="s">
        <v>37</v>
      </c>
      <c r="B40" s="20">
        <v>1.02894</v>
      </c>
      <c r="C40" s="19" t="s">
        <v>38</v>
      </c>
      <c r="D40" s="20">
        <v>0.49698199999999987</v>
      </c>
      <c r="E40" s="19" t="s">
        <v>39</v>
      </c>
      <c r="F40" s="20">
        <v>2.07037679433058</v>
      </c>
      <c r="G40" s="19"/>
    </row>
    <row r="41" ht="15.75" customHeight="1">
      <c r="A41" s="19" t="s">
        <v>40</v>
      </c>
      <c r="B41" s="20">
        <v>3.115077999999999</v>
      </c>
      <c r="C41" s="19" t="s">
        <v>41</v>
      </c>
      <c r="D41" s="20">
        <v>0.0</v>
      </c>
      <c r="E41" s="19" t="s">
        <v>42</v>
      </c>
      <c r="F41" s="20">
        <v>2.0</v>
      </c>
      <c r="G41" s="19"/>
    </row>
    <row r="42" ht="15.75" customHeight="1">
      <c r="A42" s="21" t="s">
        <v>67</v>
      </c>
    </row>
    <row r="43" ht="30.0" customHeight="1">
      <c r="A43" s="22" t="s">
        <v>68</v>
      </c>
      <c r="B43" s="23"/>
      <c r="C43" s="23"/>
      <c r="D43" s="23"/>
      <c r="E43" s="23"/>
      <c r="F43" s="23"/>
      <c r="G43" s="24"/>
    </row>
    <row r="44" ht="15.75" customHeight="1"/>
    <row r="45" ht="22.5" customHeight="1">
      <c r="A45" s="3" t="s">
        <v>69</v>
      </c>
    </row>
    <row r="46" ht="15.75" customHeight="1">
      <c r="A46" s="5" t="s">
        <v>56</v>
      </c>
      <c r="B46" s="6"/>
      <c r="C46" s="6"/>
      <c r="D46" s="6"/>
      <c r="E46" s="6"/>
      <c r="F46" s="6"/>
      <c r="G46" s="7"/>
    </row>
    <row r="47" ht="30.0" customHeight="1">
      <c r="A47" s="8" t="s">
        <v>9</v>
      </c>
      <c r="B47" s="8" t="s">
        <v>10</v>
      </c>
      <c r="C47" s="8" t="s">
        <v>11</v>
      </c>
      <c r="D47" s="8" t="s">
        <v>12</v>
      </c>
      <c r="E47" s="8" t="s">
        <v>13</v>
      </c>
      <c r="F47" s="8" t="s">
        <v>14</v>
      </c>
      <c r="G47" s="8" t="s">
        <v>15</v>
      </c>
    </row>
    <row r="48" ht="15.75" customHeight="1">
      <c r="A48" s="10" t="s">
        <v>16</v>
      </c>
      <c r="B48" s="10" t="s">
        <v>19</v>
      </c>
      <c r="C48" s="11">
        <v>34.36</v>
      </c>
      <c r="D48" s="11">
        <v>87.78</v>
      </c>
      <c r="E48" s="11">
        <f t="shared" ref="E48:E51" si="10">IF(D48&gt;0,(C48/D48)/SUMPRODUCT($C$48:$C$51/$D$48:$D$51)*100,"")</f>
        <v>34.85065104</v>
      </c>
      <c r="F48" s="11">
        <f t="shared" ref="F48:F51" si="11">IF(E48&lt;&gt;"",E48*3,"")</f>
        <v>104.5519531</v>
      </c>
      <c r="G48" s="10" t="s">
        <v>21</v>
      </c>
    </row>
    <row r="49" ht="15.75" customHeight="1">
      <c r="A49" s="12" t="s">
        <v>16</v>
      </c>
      <c r="B49" s="12" t="s">
        <v>52</v>
      </c>
      <c r="C49" s="13">
        <v>28.22</v>
      </c>
      <c r="D49" s="13">
        <v>90.57</v>
      </c>
      <c r="E49" s="13">
        <f t="shared" si="10"/>
        <v>27.74124568</v>
      </c>
      <c r="F49" s="13">
        <f t="shared" si="11"/>
        <v>83.22373704</v>
      </c>
      <c r="G49" s="12" t="s">
        <v>21</v>
      </c>
    </row>
    <row r="50" ht="15.75" customHeight="1">
      <c r="A50" s="12" t="s">
        <v>22</v>
      </c>
      <c r="B50" s="12" t="s">
        <v>23</v>
      </c>
      <c r="C50" s="13">
        <v>35.28</v>
      </c>
      <c r="D50" s="13">
        <v>88.48</v>
      </c>
      <c r="E50" s="13">
        <f t="shared" si="10"/>
        <v>35.50068879</v>
      </c>
      <c r="F50" s="13">
        <f t="shared" si="11"/>
        <v>106.5020664</v>
      </c>
      <c r="G50" s="12" t="s">
        <v>21</v>
      </c>
    </row>
    <row r="51" ht="15.75" customHeight="1">
      <c r="A51" s="14" t="s">
        <v>24</v>
      </c>
      <c r="B51" s="14" t="s">
        <v>26</v>
      </c>
      <c r="C51" s="15">
        <v>2.14</v>
      </c>
      <c r="D51" s="15">
        <v>99.89</v>
      </c>
      <c r="E51" s="15">
        <f t="shared" si="10"/>
        <v>1.907414488</v>
      </c>
      <c r="F51" s="15">
        <f t="shared" si="11"/>
        <v>5.722243465</v>
      </c>
      <c r="G51" s="14" t="s">
        <v>21</v>
      </c>
    </row>
    <row r="52" ht="15.75" customHeight="1">
      <c r="A52" s="16" t="s">
        <v>27</v>
      </c>
      <c r="B52" s="17"/>
      <c r="C52" s="18">
        <f>SUM(C48:C51)</f>
        <v>100</v>
      </c>
      <c r="D52" s="18"/>
      <c r="E52" s="18">
        <f t="shared" ref="E52:F52" si="12">SUM(E48:E51)</f>
        <v>100</v>
      </c>
      <c r="F52" s="18">
        <f t="shared" si="12"/>
        <v>300</v>
      </c>
      <c r="G52" s="16"/>
    </row>
    <row r="53" ht="15.75" customHeight="1">
      <c r="A53" s="19" t="s">
        <v>33</v>
      </c>
      <c r="B53" s="20">
        <v>24.33935</v>
      </c>
      <c r="C53" s="19" t="s">
        <v>35</v>
      </c>
      <c r="D53" s="20">
        <v>79.27418</v>
      </c>
      <c r="E53" s="19" t="s">
        <v>36</v>
      </c>
      <c r="F53" s="20">
        <v>18.181058</v>
      </c>
      <c r="G53" s="19"/>
    </row>
    <row r="54" ht="15.75" customHeight="1">
      <c r="A54" s="19" t="s">
        <v>37</v>
      </c>
      <c r="B54" s="20">
        <v>0.9627080000000003</v>
      </c>
      <c r="C54" s="19" t="s">
        <v>38</v>
      </c>
      <c r="D54" s="20">
        <v>0.38598000000000005</v>
      </c>
      <c r="E54" s="19" t="s">
        <v>39</v>
      </c>
      <c r="F54" s="20">
        <v>2.49419140888129</v>
      </c>
      <c r="G54" s="19"/>
    </row>
    <row r="55" ht="15.75" customHeight="1">
      <c r="A55" s="19" t="s">
        <v>40</v>
      </c>
      <c r="B55" s="20">
        <v>3.5013339999999995</v>
      </c>
      <c r="C55" s="19" t="s">
        <v>41</v>
      </c>
      <c r="D55" s="20">
        <v>0.0</v>
      </c>
      <c r="E55" s="19" t="s">
        <v>42</v>
      </c>
      <c r="F55" s="20">
        <v>2.0</v>
      </c>
      <c r="G55" s="19"/>
    </row>
    <row r="56" ht="15.75" customHeight="1">
      <c r="A56" s="21" t="s">
        <v>83</v>
      </c>
    </row>
    <row r="57" ht="30.0" customHeight="1">
      <c r="A57" s="22" t="s">
        <v>84</v>
      </c>
      <c r="B57" s="23"/>
      <c r="C57" s="23"/>
      <c r="D57" s="23"/>
      <c r="E57" s="23"/>
      <c r="F57" s="23"/>
      <c r="G57" s="24"/>
    </row>
    <row r="58" ht="15.75" customHeight="1"/>
    <row r="59" ht="22.5" customHeight="1">
      <c r="A59" s="3" t="s">
        <v>85</v>
      </c>
    </row>
    <row r="60" ht="15.75" customHeight="1">
      <c r="A60" s="5" t="s">
        <v>86</v>
      </c>
      <c r="B60" s="6"/>
      <c r="C60" s="6"/>
      <c r="D60" s="6"/>
      <c r="E60" s="6"/>
      <c r="F60" s="6"/>
      <c r="G60" s="7"/>
    </row>
    <row r="61" ht="30.0" customHeight="1">
      <c r="A61" s="8" t="s">
        <v>9</v>
      </c>
      <c r="B61" s="8" t="s">
        <v>10</v>
      </c>
      <c r="C61" s="8" t="s">
        <v>11</v>
      </c>
      <c r="D61" s="8" t="s">
        <v>12</v>
      </c>
      <c r="E61" s="8" t="s">
        <v>13</v>
      </c>
      <c r="F61" s="8" t="s">
        <v>14</v>
      </c>
      <c r="G61" s="8" t="s">
        <v>15</v>
      </c>
    </row>
    <row r="62" ht="15.75" customHeight="1">
      <c r="A62" s="10" t="s">
        <v>16</v>
      </c>
      <c r="B62" s="10" t="s">
        <v>17</v>
      </c>
      <c r="C62" s="11">
        <v>19.380000000000003</v>
      </c>
      <c r="D62" s="11">
        <v>88.05</v>
      </c>
      <c r="E62" s="11">
        <f t="shared" ref="E62:E65" si="13">IF(D62&gt;0,(C62/D62)/SUMPRODUCT($C$62:$C$65/$D$62:$D$65)*100,"")</f>
        <v>19.38648677</v>
      </c>
      <c r="F62" s="11">
        <f t="shared" ref="F62:F65" si="14">IF(E62&lt;&gt;"",E62*3,"")</f>
        <v>58.1594603</v>
      </c>
      <c r="G62" s="10" t="s">
        <v>21</v>
      </c>
    </row>
    <row r="63" ht="15.75" customHeight="1">
      <c r="A63" s="12" t="s">
        <v>16</v>
      </c>
      <c r="B63" s="12" t="s">
        <v>19</v>
      </c>
      <c r="C63" s="13">
        <v>73.66</v>
      </c>
      <c r="D63" s="13">
        <v>87.78</v>
      </c>
      <c r="E63" s="13">
        <f t="shared" si="13"/>
        <v>73.9112996</v>
      </c>
      <c r="F63" s="13">
        <f t="shared" si="14"/>
        <v>221.7338988</v>
      </c>
      <c r="G63" s="12" t="s">
        <v>21</v>
      </c>
    </row>
    <row r="64" ht="15.75" customHeight="1">
      <c r="A64" s="12" t="s">
        <v>22</v>
      </c>
      <c r="B64" s="12" t="s">
        <v>23</v>
      </c>
      <c r="C64" s="13">
        <v>4.97</v>
      </c>
      <c r="D64" s="13">
        <v>88.48</v>
      </c>
      <c r="E64" s="13">
        <f t="shared" si="13"/>
        <v>4.947501965</v>
      </c>
      <c r="F64" s="13">
        <f t="shared" si="14"/>
        <v>14.8425059</v>
      </c>
      <c r="G64" s="12" t="s">
        <v>21</v>
      </c>
    </row>
    <row r="65" ht="15.75" customHeight="1">
      <c r="A65" s="14" t="s">
        <v>24</v>
      </c>
      <c r="B65" s="14" t="s">
        <v>26</v>
      </c>
      <c r="C65" s="15">
        <v>1.9900000000000004</v>
      </c>
      <c r="D65" s="15">
        <v>99.89</v>
      </c>
      <c r="E65" s="15">
        <f t="shared" si="13"/>
        <v>1.754711668</v>
      </c>
      <c r="F65" s="15">
        <f t="shared" si="14"/>
        <v>5.264135004</v>
      </c>
      <c r="G65" s="14" t="s">
        <v>21</v>
      </c>
    </row>
    <row r="66" ht="15.75" customHeight="1">
      <c r="A66" s="16" t="s">
        <v>27</v>
      </c>
      <c r="B66" s="17"/>
      <c r="C66" s="18">
        <f>SUM(C62:C65)</f>
        <v>100</v>
      </c>
      <c r="D66" s="18"/>
      <c r="E66" s="18">
        <f t="shared" ref="E66:F66" si="15">SUM(E62:E65)</f>
        <v>100</v>
      </c>
      <c r="F66" s="18">
        <f t="shared" si="15"/>
        <v>300</v>
      </c>
      <c r="G66" s="16"/>
    </row>
    <row r="67" ht="15.75" customHeight="1">
      <c r="A67" s="19" t="s">
        <v>33</v>
      </c>
      <c r="B67" s="20">
        <v>12.444288</v>
      </c>
      <c r="C67" s="19" t="s">
        <v>35</v>
      </c>
      <c r="D67" s="20">
        <v>81.20960900000001</v>
      </c>
      <c r="E67" s="19" t="s">
        <v>36</v>
      </c>
      <c r="F67" s="20">
        <v>19.883011</v>
      </c>
      <c r="G67" s="19"/>
    </row>
    <row r="68" ht="15.75" customHeight="1">
      <c r="A68" s="19" t="s">
        <v>37</v>
      </c>
      <c r="B68" s="20">
        <v>0.8185860000000003</v>
      </c>
      <c r="C68" s="19" t="s">
        <v>38</v>
      </c>
      <c r="D68" s="20">
        <v>0.3967880000000001</v>
      </c>
      <c r="E68" s="19" t="s">
        <v>39</v>
      </c>
      <c r="F68" s="20">
        <v>2.063031140054639</v>
      </c>
      <c r="G68" s="19"/>
    </row>
    <row r="69" ht="15.75" customHeight="1">
      <c r="A69" s="19" t="s">
        <v>40</v>
      </c>
      <c r="B69" s="20">
        <v>3.859767</v>
      </c>
      <c r="C69" s="19" t="s">
        <v>41</v>
      </c>
      <c r="D69" s="20">
        <v>0.0</v>
      </c>
      <c r="E69" s="19" t="s">
        <v>42</v>
      </c>
      <c r="F69" s="20">
        <v>1.0</v>
      </c>
      <c r="G69" s="19"/>
    </row>
    <row r="70" ht="15.75" customHeight="1">
      <c r="A70" s="21" t="s">
        <v>115</v>
      </c>
    </row>
    <row r="71" ht="30.0" customHeight="1">
      <c r="A71" s="22" t="s">
        <v>116</v>
      </c>
      <c r="B71" s="23"/>
      <c r="C71" s="23"/>
      <c r="D71" s="23"/>
      <c r="E71" s="23"/>
      <c r="F71" s="23"/>
      <c r="G71" s="24"/>
    </row>
    <row r="72" ht="15.75" customHeight="1"/>
    <row r="73" ht="22.5" customHeight="1">
      <c r="A73" s="3" t="s">
        <v>117</v>
      </c>
    </row>
    <row r="74" ht="15.75" customHeight="1">
      <c r="A74" s="5" t="s">
        <v>86</v>
      </c>
      <c r="B74" s="6"/>
      <c r="C74" s="6"/>
      <c r="D74" s="6"/>
      <c r="E74" s="6"/>
      <c r="F74" s="6"/>
      <c r="G74" s="7"/>
    </row>
    <row r="75" ht="30.0" customHeight="1">
      <c r="A75" s="8" t="s">
        <v>9</v>
      </c>
      <c r="B75" s="8" t="s">
        <v>10</v>
      </c>
      <c r="C75" s="8" t="s">
        <v>11</v>
      </c>
      <c r="D75" s="8" t="s">
        <v>12</v>
      </c>
      <c r="E75" s="8" t="s">
        <v>13</v>
      </c>
      <c r="F75" s="8" t="s">
        <v>14</v>
      </c>
      <c r="G75" s="8" t="s">
        <v>15</v>
      </c>
    </row>
    <row r="76" ht="15.75" customHeight="1">
      <c r="A76" s="10" t="s">
        <v>16</v>
      </c>
      <c r="B76" s="10" t="s">
        <v>19</v>
      </c>
      <c r="C76" s="11">
        <v>47.95</v>
      </c>
      <c r="D76" s="11">
        <v>87.78</v>
      </c>
      <c r="E76" s="11">
        <f t="shared" ref="E76:E79" si="16">IF(D76&gt;0,(C76/D76)/SUMPRODUCT($C$76:$C$79/$D$76:$D$79)*100,"")</f>
        <v>48.76651205</v>
      </c>
      <c r="F76" s="11">
        <f t="shared" ref="F76:F79" si="17">IF(E76&lt;&gt;"",E76*3,"")</f>
        <v>146.2995362</v>
      </c>
      <c r="G76" s="10" t="s">
        <v>21</v>
      </c>
    </row>
    <row r="77" ht="15.75" customHeight="1">
      <c r="A77" s="12" t="s">
        <v>16</v>
      </c>
      <c r="B77" s="12" t="s">
        <v>52</v>
      </c>
      <c r="C77" s="13">
        <v>48.07</v>
      </c>
      <c r="D77" s="13">
        <v>90.57</v>
      </c>
      <c r="E77" s="13">
        <f t="shared" si="16"/>
        <v>47.38254829</v>
      </c>
      <c r="F77" s="13">
        <f t="shared" si="17"/>
        <v>142.1476449</v>
      </c>
      <c r="G77" s="12" t="s">
        <v>21</v>
      </c>
    </row>
    <row r="78" ht="15.75" customHeight="1">
      <c r="A78" s="12" t="s">
        <v>22</v>
      </c>
      <c r="B78" s="12" t="s">
        <v>23</v>
      </c>
      <c r="C78" s="13">
        <v>2.55</v>
      </c>
      <c r="D78" s="13">
        <v>88.48</v>
      </c>
      <c r="E78" s="13">
        <f t="shared" si="16"/>
        <v>2.572904852</v>
      </c>
      <c r="F78" s="13">
        <f t="shared" si="17"/>
        <v>7.718714555</v>
      </c>
      <c r="G78" s="12" t="s">
        <v>21</v>
      </c>
    </row>
    <row r="79" ht="15.75" customHeight="1">
      <c r="A79" s="14" t="s">
        <v>24</v>
      </c>
      <c r="B79" s="14" t="s">
        <v>26</v>
      </c>
      <c r="C79" s="15">
        <v>1.43</v>
      </c>
      <c r="D79" s="15">
        <v>99.89</v>
      </c>
      <c r="E79" s="15">
        <f t="shared" si="16"/>
        <v>1.278034813</v>
      </c>
      <c r="F79" s="15">
        <f t="shared" si="17"/>
        <v>3.834104438</v>
      </c>
      <c r="G79" s="14" t="s">
        <v>21</v>
      </c>
    </row>
    <row r="80" ht="15.75" customHeight="1">
      <c r="A80" s="16" t="s">
        <v>27</v>
      </c>
      <c r="B80" s="17"/>
      <c r="C80" s="18">
        <f>SUM(C76:C79)</f>
        <v>100</v>
      </c>
      <c r="D80" s="18"/>
      <c r="E80" s="18">
        <f t="shared" ref="E80:F80" si="18">SUM(E76:E79)</f>
        <v>100</v>
      </c>
      <c r="F80" s="18">
        <f t="shared" si="18"/>
        <v>300</v>
      </c>
      <c r="G80" s="16"/>
    </row>
    <row r="81" ht="15.75" customHeight="1">
      <c r="A81" s="19" t="s">
        <v>33</v>
      </c>
      <c r="B81" s="20">
        <v>12.437577</v>
      </c>
      <c r="C81" s="19" t="s">
        <v>35</v>
      </c>
      <c r="D81" s="20">
        <v>79.477868</v>
      </c>
      <c r="E81" s="19" t="s">
        <v>36</v>
      </c>
      <c r="F81" s="20">
        <v>20.602523</v>
      </c>
      <c r="G81" s="19"/>
    </row>
    <row r="82" ht="15.75" customHeight="1">
      <c r="A82" s="19" t="s">
        <v>37</v>
      </c>
      <c r="B82" s="20">
        <v>0.6193960000000001</v>
      </c>
      <c r="C82" s="19" t="s">
        <v>38</v>
      </c>
      <c r="D82" s="20">
        <v>0.30279799999999996</v>
      </c>
      <c r="E82" s="19" t="s">
        <v>39</v>
      </c>
      <c r="F82" s="20">
        <v>2.0455749377472774</v>
      </c>
      <c r="G82" s="19"/>
    </row>
    <row r="83" ht="15.75" customHeight="1">
      <c r="A83" s="19" t="s">
        <v>40</v>
      </c>
      <c r="B83" s="20">
        <v>4.514926</v>
      </c>
      <c r="C83" s="19" t="s">
        <v>41</v>
      </c>
      <c r="D83" s="20">
        <v>0.0</v>
      </c>
      <c r="E83" s="19" t="s">
        <v>42</v>
      </c>
      <c r="F83" s="20">
        <v>1.0</v>
      </c>
      <c r="G83" s="19"/>
    </row>
    <row r="84" ht="15.75" customHeight="1">
      <c r="A84" s="21" t="s">
        <v>119</v>
      </c>
    </row>
    <row r="85" ht="30.0" customHeight="1">
      <c r="A85" s="22" t="s">
        <v>120</v>
      </c>
      <c r="B85" s="23"/>
      <c r="C85" s="23"/>
      <c r="D85" s="23"/>
      <c r="E85" s="23"/>
      <c r="F85" s="23"/>
      <c r="G85" s="24"/>
    </row>
    <row r="86" ht="15.75" customHeight="1"/>
    <row r="87" ht="22.5" customHeight="1">
      <c r="A87" s="3" t="s">
        <v>123</v>
      </c>
    </row>
    <row r="88" ht="15.75" customHeight="1">
      <c r="A88" s="5" t="s">
        <v>124</v>
      </c>
      <c r="B88" s="6"/>
      <c r="C88" s="6"/>
      <c r="D88" s="6"/>
      <c r="E88" s="6"/>
      <c r="F88" s="6"/>
      <c r="G88" s="7"/>
    </row>
    <row r="89" ht="30.0" customHeight="1">
      <c r="A89" s="8" t="s">
        <v>9</v>
      </c>
      <c r="B89" s="8" t="s">
        <v>10</v>
      </c>
      <c r="C89" s="8" t="s">
        <v>11</v>
      </c>
      <c r="D89" s="8" t="s">
        <v>12</v>
      </c>
      <c r="E89" s="8" t="s">
        <v>13</v>
      </c>
      <c r="F89" s="8" t="s">
        <v>14</v>
      </c>
      <c r="G89" s="8" t="s">
        <v>15</v>
      </c>
    </row>
    <row r="90" ht="15.75" customHeight="1">
      <c r="A90" s="10" t="s">
        <v>16</v>
      </c>
      <c r="B90" s="10" t="s">
        <v>17</v>
      </c>
      <c r="C90" s="11">
        <v>27.04</v>
      </c>
      <c r="D90" s="11">
        <v>88.05</v>
      </c>
      <c r="E90" s="11">
        <f t="shared" ref="E90:E93" si="19">IF(D90&gt;0,(C90/D90)/SUMPRODUCT($C$90:$C$93/$D$90:$D$93)*100,"")</f>
        <v>27.06868384</v>
      </c>
      <c r="F90" s="11">
        <f t="shared" ref="F90:F93" si="20">IF(E90&lt;&gt;"",E90*3,"")</f>
        <v>81.20605152</v>
      </c>
      <c r="G90" s="10" t="s">
        <v>21</v>
      </c>
    </row>
    <row r="91" ht="15.75" customHeight="1">
      <c r="A91" s="12" t="s">
        <v>16</v>
      </c>
      <c r="B91" s="12" t="s">
        <v>19</v>
      </c>
      <c r="C91" s="13">
        <v>63.27</v>
      </c>
      <c r="D91" s="13">
        <v>87.78</v>
      </c>
      <c r="E91" s="13">
        <f t="shared" si="19"/>
        <v>63.5319332</v>
      </c>
      <c r="F91" s="13">
        <f t="shared" si="20"/>
        <v>190.5957996</v>
      </c>
      <c r="G91" s="12" t="s">
        <v>21</v>
      </c>
    </row>
    <row r="92" ht="15.75" customHeight="1">
      <c r="A92" s="12" t="s">
        <v>22</v>
      </c>
      <c r="B92" s="12" t="s">
        <v>23</v>
      </c>
      <c r="C92" s="13">
        <v>7.46</v>
      </c>
      <c r="D92" s="13">
        <v>88.48</v>
      </c>
      <c r="E92" s="13">
        <f t="shared" si="19"/>
        <v>7.431620536</v>
      </c>
      <c r="F92" s="13">
        <f t="shared" si="20"/>
        <v>22.29486161</v>
      </c>
      <c r="G92" s="12" t="s">
        <v>21</v>
      </c>
    </row>
    <row r="93" ht="15.75" customHeight="1">
      <c r="A93" s="14" t="s">
        <v>24</v>
      </c>
      <c r="B93" s="14" t="s">
        <v>26</v>
      </c>
      <c r="C93" s="15">
        <v>2.23</v>
      </c>
      <c r="D93" s="15">
        <v>99.89</v>
      </c>
      <c r="E93" s="15">
        <f t="shared" si="19"/>
        <v>1.967762422</v>
      </c>
      <c r="F93" s="15">
        <f t="shared" si="20"/>
        <v>5.903287265</v>
      </c>
      <c r="G93" s="14" t="s">
        <v>21</v>
      </c>
    </row>
    <row r="94" ht="15.75" customHeight="1">
      <c r="A94" s="16" t="s">
        <v>27</v>
      </c>
      <c r="B94" s="17"/>
      <c r="C94" s="18">
        <f>SUM(C90:C93)</f>
        <v>100</v>
      </c>
      <c r="D94" s="18"/>
      <c r="E94" s="18">
        <f t="shared" ref="E94:F94" si="21">SUM(E90:E93)</f>
        <v>100</v>
      </c>
      <c r="F94" s="18">
        <f t="shared" si="21"/>
        <v>300</v>
      </c>
      <c r="G94" s="16"/>
    </row>
    <row r="95" ht="15.75" customHeight="1">
      <c r="A95" s="19" t="s">
        <v>33</v>
      </c>
      <c r="B95" s="20">
        <v>14.024314000000002</v>
      </c>
      <c r="C95" s="19" t="s">
        <v>35</v>
      </c>
      <c r="D95" s="20">
        <v>79.74667900000001</v>
      </c>
      <c r="E95" s="19" t="s">
        <v>36</v>
      </c>
      <c r="F95" s="20">
        <v>22.137939</v>
      </c>
      <c r="G95" s="19"/>
    </row>
    <row r="96" ht="15.75" customHeight="1">
      <c r="A96" s="19" t="s">
        <v>37</v>
      </c>
      <c r="B96" s="20">
        <v>0.9278799999999998</v>
      </c>
      <c r="C96" s="19" t="s">
        <v>38</v>
      </c>
      <c r="D96" s="20">
        <v>0.4578</v>
      </c>
      <c r="E96" s="19" t="s">
        <v>39</v>
      </c>
      <c r="F96" s="20">
        <v>2.026823940585408</v>
      </c>
      <c r="G96" s="19"/>
    </row>
    <row r="97" ht="15.75" customHeight="1">
      <c r="A97" s="19" t="s">
        <v>40</v>
      </c>
      <c r="B97" s="20">
        <v>3.7432679999999996</v>
      </c>
      <c r="C97" s="19" t="s">
        <v>41</v>
      </c>
      <c r="D97" s="20">
        <v>0.0</v>
      </c>
      <c r="E97" s="19" t="s">
        <v>42</v>
      </c>
      <c r="F97" s="20">
        <v>1.0</v>
      </c>
      <c r="G97" s="19"/>
    </row>
    <row r="98" ht="15.75" customHeight="1">
      <c r="A98" s="21" t="s">
        <v>128</v>
      </c>
    </row>
    <row r="99" ht="30.0" customHeight="1">
      <c r="A99" s="22" t="s">
        <v>129</v>
      </c>
      <c r="B99" s="23"/>
      <c r="C99" s="23"/>
      <c r="D99" s="23"/>
      <c r="E99" s="23"/>
      <c r="F99" s="23"/>
      <c r="G99" s="24"/>
    </row>
    <row r="100" ht="15.75" customHeight="1"/>
    <row r="101" ht="22.5" customHeight="1">
      <c r="A101" s="3" t="s">
        <v>130</v>
      </c>
    </row>
    <row r="102" ht="15.75" customHeight="1">
      <c r="A102" s="5" t="s">
        <v>124</v>
      </c>
      <c r="B102" s="6"/>
      <c r="C102" s="6"/>
      <c r="D102" s="6"/>
      <c r="E102" s="6"/>
      <c r="F102" s="6"/>
      <c r="G102" s="7"/>
    </row>
    <row r="103" ht="30.0" customHeight="1">
      <c r="A103" s="8" t="s">
        <v>9</v>
      </c>
      <c r="B103" s="8" t="s">
        <v>10</v>
      </c>
      <c r="C103" s="8" t="s">
        <v>11</v>
      </c>
      <c r="D103" s="8" t="s">
        <v>12</v>
      </c>
      <c r="E103" s="8" t="s">
        <v>13</v>
      </c>
      <c r="F103" s="8" t="s">
        <v>14</v>
      </c>
      <c r="G103" s="8" t="s">
        <v>15</v>
      </c>
    </row>
    <row r="104" ht="15.75" customHeight="1">
      <c r="A104" s="10" t="s">
        <v>16</v>
      </c>
      <c r="B104" s="10" t="s">
        <v>19</v>
      </c>
      <c r="C104" s="11">
        <v>49.2</v>
      </c>
      <c r="D104" s="11">
        <v>87.78</v>
      </c>
      <c r="E104" s="11">
        <f t="shared" ref="E104:E107" si="22">IF(D104&gt;0,(C104/D104)/SUMPRODUCT($C$104:$C$107/$D$104:$D$107)*100,"")</f>
        <v>49.96938673</v>
      </c>
      <c r="F104" s="11">
        <f t="shared" ref="F104:F107" si="23">IF(E104&lt;&gt;"",E104*3,"")</f>
        <v>149.9081602</v>
      </c>
      <c r="G104" s="10" t="s">
        <v>21</v>
      </c>
    </row>
    <row r="105" ht="15.75" customHeight="1">
      <c r="A105" s="12" t="s">
        <v>16</v>
      </c>
      <c r="B105" s="12" t="s">
        <v>52</v>
      </c>
      <c r="C105" s="13">
        <v>41.83</v>
      </c>
      <c r="D105" s="13">
        <v>90.57</v>
      </c>
      <c r="E105" s="13">
        <f t="shared" si="22"/>
        <v>41.17541547</v>
      </c>
      <c r="F105" s="13">
        <f t="shared" si="23"/>
        <v>123.5262464</v>
      </c>
      <c r="G105" s="12" t="s">
        <v>21</v>
      </c>
    </row>
    <row r="106" ht="15.75" customHeight="1">
      <c r="A106" s="12" t="s">
        <v>22</v>
      </c>
      <c r="B106" s="12" t="s">
        <v>23</v>
      </c>
      <c r="C106" s="13">
        <v>7.380000000000001</v>
      </c>
      <c r="D106" s="13">
        <v>88.48</v>
      </c>
      <c r="E106" s="13">
        <f t="shared" si="22"/>
        <v>7.436108896</v>
      </c>
      <c r="F106" s="13">
        <f t="shared" si="23"/>
        <v>22.30832669</v>
      </c>
      <c r="G106" s="12" t="s">
        <v>21</v>
      </c>
    </row>
    <row r="107" ht="15.75" customHeight="1">
      <c r="A107" s="14" t="s">
        <v>24</v>
      </c>
      <c r="B107" s="14" t="s">
        <v>26</v>
      </c>
      <c r="C107" s="15">
        <v>1.59</v>
      </c>
      <c r="D107" s="15">
        <v>99.89</v>
      </c>
      <c r="E107" s="15">
        <f t="shared" si="22"/>
        <v>1.419088904</v>
      </c>
      <c r="F107" s="15">
        <f t="shared" si="23"/>
        <v>4.257266713</v>
      </c>
      <c r="G107" s="14" t="s">
        <v>21</v>
      </c>
    </row>
    <row r="108" ht="15.75" customHeight="1">
      <c r="A108" s="16" t="s">
        <v>27</v>
      </c>
      <c r="B108" s="17"/>
      <c r="C108" s="18">
        <f>SUM(C104:C107)</f>
        <v>100</v>
      </c>
      <c r="D108" s="18"/>
      <c r="E108" s="18">
        <f t="shared" ref="E108:F108" si="24">SUM(E104:E107)</f>
        <v>100</v>
      </c>
      <c r="F108" s="18">
        <f t="shared" si="24"/>
        <v>300</v>
      </c>
      <c r="G108" s="16"/>
    </row>
    <row r="109" ht="15.75" customHeight="1">
      <c r="A109" s="19" t="s">
        <v>33</v>
      </c>
      <c r="B109" s="20">
        <v>14.019730999999998</v>
      </c>
      <c r="C109" s="19" t="s">
        <v>35</v>
      </c>
      <c r="D109" s="20">
        <v>79.75752600000001</v>
      </c>
      <c r="E109" s="19" t="s">
        <v>36</v>
      </c>
      <c r="F109" s="20">
        <v>19.796913000000004</v>
      </c>
      <c r="G109" s="19"/>
    </row>
    <row r="110" ht="15.75" customHeight="1">
      <c r="A110" s="19" t="s">
        <v>37</v>
      </c>
      <c r="B110" s="20">
        <v>0.687358</v>
      </c>
      <c r="C110" s="19" t="s">
        <v>38</v>
      </c>
      <c r="D110" s="20">
        <v>0.31163</v>
      </c>
      <c r="E110" s="19" t="s">
        <v>39</v>
      </c>
      <c r="F110" s="20">
        <v>2.2056862304656164</v>
      </c>
      <c r="G110" s="19"/>
    </row>
    <row r="111" ht="15.75" customHeight="1">
      <c r="A111" s="19" t="s">
        <v>40</v>
      </c>
      <c r="B111" s="20">
        <v>4.331588999999999</v>
      </c>
      <c r="C111" s="19" t="s">
        <v>41</v>
      </c>
      <c r="D111" s="20">
        <v>0.0</v>
      </c>
      <c r="E111" s="19" t="s">
        <v>42</v>
      </c>
      <c r="F111" s="20">
        <v>1.0</v>
      </c>
      <c r="G111" s="19"/>
    </row>
    <row r="112" ht="15.75" customHeight="1">
      <c r="A112" s="21" t="s">
        <v>133</v>
      </c>
    </row>
    <row r="113" ht="30.0" customHeight="1">
      <c r="A113" s="22" t="s">
        <v>134</v>
      </c>
      <c r="B113" s="23"/>
      <c r="C113" s="23"/>
      <c r="D113" s="23"/>
      <c r="E113" s="23"/>
      <c r="F113" s="23"/>
      <c r="G113" s="24"/>
    </row>
    <row r="114" ht="15.75" customHeight="1"/>
    <row r="115" ht="22.5" customHeight="1">
      <c r="A115" s="3" t="s">
        <v>136</v>
      </c>
    </row>
    <row r="116" ht="15.75" customHeight="1">
      <c r="A116" s="5" t="s">
        <v>8</v>
      </c>
      <c r="B116" s="6"/>
      <c r="C116" s="6"/>
      <c r="D116" s="6"/>
      <c r="E116" s="6"/>
      <c r="F116" s="6"/>
      <c r="G116" s="7"/>
    </row>
    <row r="117" ht="30.0" customHeight="1">
      <c r="A117" s="8" t="s">
        <v>9</v>
      </c>
      <c r="B117" s="8" t="s">
        <v>10</v>
      </c>
      <c r="C117" s="8" t="s">
        <v>11</v>
      </c>
      <c r="D117" s="8" t="s">
        <v>12</v>
      </c>
      <c r="E117" s="8" t="s">
        <v>13</v>
      </c>
      <c r="F117" s="8" t="s">
        <v>14</v>
      </c>
      <c r="G117" s="8" t="s">
        <v>15</v>
      </c>
    </row>
    <row r="118" ht="15.75" customHeight="1">
      <c r="A118" s="10" t="s">
        <v>16</v>
      </c>
      <c r="B118" s="10" t="s">
        <v>17</v>
      </c>
      <c r="C118" s="11">
        <v>9.12</v>
      </c>
      <c r="D118" s="11">
        <v>88.05</v>
      </c>
      <c r="E118" s="11">
        <f t="shared" ref="E118:E121" si="25">IF(D118&gt;0,(C118/D118)/SUMPRODUCT($C$118:$C$121/$D$118:$D$121)*100,"")</f>
        <v>9.131621776</v>
      </c>
      <c r="F118" s="11">
        <f t="shared" ref="F118:F121" si="26">IF(E118&lt;&gt;"",E118*3,"")</f>
        <v>27.39486533</v>
      </c>
      <c r="G118" s="10" t="s">
        <v>21</v>
      </c>
    </row>
    <row r="119" ht="15.75" customHeight="1">
      <c r="A119" s="12" t="s">
        <v>16</v>
      </c>
      <c r="B119" s="12" t="s">
        <v>19</v>
      </c>
      <c r="C119" s="13">
        <v>66.26</v>
      </c>
      <c r="D119" s="13">
        <v>87.78</v>
      </c>
      <c r="E119" s="13">
        <f t="shared" si="25"/>
        <v>66.54850324</v>
      </c>
      <c r="F119" s="13">
        <f t="shared" si="26"/>
        <v>199.6455097</v>
      </c>
      <c r="G119" s="12" t="s">
        <v>21</v>
      </c>
    </row>
    <row r="120" ht="15.75" customHeight="1">
      <c r="A120" s="12" t="s">
        <v>22</v>
      </c>
      <c r="B120" s="12" t="s">
        <v>23</v>
      </c>
      <c r="C120" s="13">
        <v>22.76</v>
      </c>
      <c r="D120" s="13">
        <v>88.48</v>
      </c>
      <c r="E120" s="13">
        <f t="shared" si="25"/>
        <v>22.67825221</v>
      </c>
      <c r="F120" s="13">
        <f t="shared" si="26"/>
        <v>68.03475662</v>
      </c>
      <c r="G120" s="12" t="s">
        <v>21</v>
      </c>
    </row>
    <row r="121" ht="15.75" customHeight="1">
      <c r="A121" s="14" t="s">
        <v>24</v>
      </c>
      <c r="B121" s="14" t="s">
        <v>26</v>
      </c>
      <c r="C121" s="15">
        <v>1.86</v>
      </c>
      <c r="D121" s="15">
        <v>99.89</v>
      </c>
      <c r="E121" s="15">
        <f t="shared" si="25"/>
        <v>1.641622773</v>
      </c>
      <c r="F121" s="15">
        <f t="shared" si="26"/>
        <v>4.924868319</v>
      </c>
      <c r="G121" s="14" t="s">
        <v>21</v>
      </c>
    </row>
    <row r="122" ht="15.75" customHeight="1">
      <c r="A122" s="16" t="s">
        <v>27</v>
      </c>
      <c r="B122" s="17"/>
      <c r="C122" s="18">
        <f>SUM(C118:C121)</f>
        <v>100</v>
      </c>
      <c r="D122" s="18"/>
      <c r="E122" s="18">
        <f t="shared" ref="E122:F122" si="27">SUM(E118:E121)</f>
        <v>100</v>
      </c>
      <c r="F122" s="18">
        <f t="shared" si="27"/>
        <v>300</v>
      </c>
      <c r="G122" s="16"/>
    </row>
    <row r="123" ht="15.75" customHeight="1">
      <c r="A123" s="19" t="s">
        <v>33</v>
      </c>
      <c r="B123" s="20">
        <v>18.688779999999998</v>
      </c>
      <c r="C123" s="19" t="s">
        <v>35</v>
      </c>
      <c r="D123" s="20">
        <v>81.88474599999999</v>
      </c>
      <c r="E123" s="19" t="s">
        <v>36</v>
      </c>
      <c r="F123" s="20">
        <v>17.042178000000003</v>
      </c>
      <c r="G123" s="19"/>
    </row>
    <row r="124" ht="15.75" customHeight="1">
      <c r="A124" s="19" t="s">
        <v>37</v>
      </c>
      <c r="B124" s="20">
        <v>0.8070240000000001</v>
      </c>
      <c r="C124" s="19" t="s">
        <v>38</v>
      </c>
      <c r="D124" s="20">
        <v>0.38220800000000005</v>
      </c>
      <c r="E124" s="19" t="s">
        <v>39</v>
      </c>
      <c r="F124" s="20">
        <v>2.1114785666443403</v>
      </c>
      <c r="G124" s="19"/>
    </row>
    <row r="125" ht="15.75" customHeight="1">
      <c r="A125" s="19" t="s">
        <v>40</v>
      </c>
      <c r="B125" s="20">
        <v>3.494464</v>
      </c>
      <c r="C125" s="19" t="s">
        <v>41</v>
      </c>
      <c r="D125" s="20">
        <v>0.0</v>
      </c>
      <c r="E125" s="19" t="s">
        <v>42</v>
      </c>
      <c r="F125" s="20">
        <v>2.0</v>
      </c>
      <c r="G125" s="19"/>
    </row>
    <row r="126" ht="15.75" customHeight="1">
      <c r="A126" s="21" t="s">
        <v>44</v>
      </c>
    </row>
    <row r="127" ht="30.0" customHeight="1">
      <c r="A127" s="22" t="s">
        <v>46</v>
      </c>
      <c r="B127" s="23"/>
      <c r="C127" s="23"/>
      <c r="D127" s="23"/>
      <c r="E127" s="23"/>
      <c r="F127" s="23"/>
      <c r="G127" s="24"/>
    </row>
    <row r="128" ht="15.75" customHeight="1"/>
    <row r="129" ht="22.5" customHeight="1">
      <c r="A129" s="3" t="s">
        <v>140</v>
      </c>
    </row>
    <row r="130" ht="15.75" customHeight="1">
      <c r="A130" s="5" t="s">
        <v>8</v>
      </c>
      <c r="B130" s="6"/>
      <c r="C130" s="6"/>
      <c r="D130" s="6"/>
      <c r="E130" s="6"/>
      <c r="F130" s="6"/>
      <c r="G130" s="7"/>
    </row>
    <row r="131" ht="30.0" customHeight="1">
      <c r="A131" s="8" t="s">
        <v>9</v>
      </c>
      <c r="B131" s="8" t="s">
        <v>10</v>
      </c>
      <c r="C131" s="8" t="s">
        <v>11</v>
      </c>
      <c r="D131" s="8" t="s">
        <v>12</v>
      </c>
      <c r="E131" s="8" t="s">
        <v>13</v>
      </c>
      <c r="F131" s="8" t="s">
        <v>14</v>
      </c>
      <c r="G131" s="8" t="s">
        <v>15</v>
      </c>
    </row>
    <row r="132" ht="15.75" customHeight="1">
      <c r="A132" s="10" t="s">
        <v>16</v>
      </c>
      <c r="B132" s="10" t="s">
        <v>19</v>
      </c>
      <c r="C132" s="11">
        <v>40.27</v>
      </c>
      <c r="D132" s="11">
        <v>87.78</v>
      </c>
      <c r="E132" s="11">
        <f t="shared" ref="E132:E135" si="28">IF(D132&gt;0,(C132/D132)/SUMPRODUCT($C$132:$C$135/$D$132:$D$135)*100,"")</f>
        <v>40.90042909</v>
      </c>
      <c r="F132" s="11">
        <f t="shared" ref="F132:F135" si="29">IF(E132&lt;&gt;"",E132*3,"")</f>
        <v>122.7012873</v>
      </c>
      <c r="G132" s="10" t="s">
        <v>21</v>
      </c>
    </row>
    <row r="133" ht="15.75" customHeight="1">
      <c r="A133" s="12" t="s">
        <v>16</v>
      </c>
      <c r="B133" s="12" t="s">
        <v>52</v>
      </c>
      <c r="C133" s="13">
        <v>38.47</v>
      </c>
      <c r="D133" s="13">
        <v>90.57</v>
      </c>
      <c r="E133" s="13">
        <f t="shared" si="28"/>
        <v>37.86863315</v>
      </c>
      <c r="F133" s="13">
        <f t="shared" si="29"/>
        <v>113.6058994</v>
      </c>
      <c r="G133" s="12" t="s">
        <v>21</v>
      </c>
    </row>
    <row r="134" ht="15.75" customHeight="1">
      <c r="A134" s="12" t="s">
        <v>22</v>
      </c>
      <c r="B134" s="12" t="s">
        <v>23</v>
      </c>
      <c r="C134" s="13">
        <v>19.6</v>
      </c>
      <c r="D134" s="13">
        <v>88.48</v>
      </c>
      <c r="E134" s="13">
        <f t="shared" si="28"/>
        <v>19.74934828</v>
      </c>
      <c r="F134" s="13">
        <f t="shared" si="29"/>
        <v>59.24804483</v>
      </c>
      <c r="G134" s="12" t="s">
        <v>21</v>
      </c>
    </row>
    <row r="135" ht="15.75" customHeight="1">
      <c r="A135" s="14" t="s">
        <v>24</v>
      </c>
      <c r="B135" s="14" t="s">
        <v>26</v>
      </c>
      <c r="C135" s="15">
        <v>1.66</v>
      </c>
      <c r="D135" s="15">
        <v>99.89</v>
      </c>
      <c r="E135" s="15">
        <f t="shared" si="28"/>
        <v>1.481589482</v>
      </c>
      <c r="F135" s="15">
        <f t="shared" si="29"/>
        <v>4.444768445</v>
      </c>
      <c r="G135" s="14" t="s">
        <v>21</v>
      </c>
    </row>
    <row r="136" ht="15.75" customHeight="1">
      <c r="A136" s="16" t="s">
        <v>27</v>
      </c>
      <c r="B136" s="17"/>
      <c r="C136" s="18">
        <f>SUM(C132:C135)</f>
        <v>100</v>
      </c>
      <c r="D136" s="18"/>
      <c r="E136" s="18">
        <f t="shared" ref="E136:F136" si="30">SUM(E132:E135)</f>
        <v>100</v>
      </c>
      <c r="F136" s="18">
        <f t="shared" si="30"/>
        <v>300</v>
      </c>
      <c r="G136" s="16"/>
    </row>
    <row r="137" ht="15.75" customHeight="1">
      <c r="A137" s="19" t="s">
        <v>33</v>
      </c>
      <c r="B137" s="20">
        <v>18.688117000000002</v>
      </c>
      <c r="C137" s="19" t="s">
        <v>35</v>
      </c>
      <c r="D137" s="20">
        <v>79.41218900000001</v>
      </c>
      <c r="E137" s="19" t="s">
        <v>36</v>
      </c>
      <c r="F137" s="20">
        <v>19.459716000000004</v>
      </c>
      <c r="G137" s="19"/>
    </row>
    <row r="138" ht="15.75" customHeight="1">
      <c r="A138" s="19" t="s">
        <v>37</v>
      </c>
      <c r="B138" s="20">
        <v>0.7467820000000001</v>
      </c>
      <c r="C138" s="19" t="s">
        <v>38</v>
      </c>
      <c r="D138" s="20">
        <v>0.347206</v>
      </c>
      <c r="E138" s="19" t="s">
        <v>39</v>
      </c>
      <c r="F138" s="20">
        <v>2.150832646901263</v>
      </c>
      <c r="G138" s="19"/>
    </row>
    <row r="139" ht="15.75" customHeight="1">
      <c r="A139" s="19" t="s">
        <v>40</v>
      </c>
      <c r="B139" s="20">
        <v>3.999797</v>
      </c>
      <c r="C139" s="19" t="s">
        <v>41</v>
      </c>
      <c r="D139" s="20">
        <v>0.0</v>
      </c>
      <c r="E139" s="19" t="s">
        <v>42</v>
      </c>
      <c r="F139" s="20">
        <v>2.0</v>
      </c>
      <c r="G139" s="19"/>
    </row>
    <row r="140" ht="15.75" customHeight="1">
      <c r="A140" s="21" t="s">
        <v>53</v>
      </c>
    </row>
    <row r="141" ht="30.0" customHeight="1">
      <c r="A141" s="22" t="s">
        <v>54</v>
      </c>
      <c r="B141" s="23"/>
      <c r="C141" s="23"/>
      <c r="D141" s="23"/>
      <c r="E141" s="23"/>
      <c r="F141" s="23"/>
      <c r="G141" s="24"/>
    </row>
    <row r="142" ht="15.75" customHeight="1"/>
    <row r="143" ht="22.5" customHeight="1">
      <c r="A143" s="3" t="s">
        <v>150</v>
      </c>
    </row>
    <row r="144" ht="15.75" customHeight="1">
      <c r="A144" s="5" t="s">
        <v>56</v>
      </c>
      <c r="B144" s="6"/>
      <c r="C144" s="6"/>
      <c r="D144" s="6"/>
      <c r="E144" s="6"/>
      <c r="F144" s="6"/>
      <c r="G144" s="7"/>
    </row>
    <row r="145" ht="30.0" customHeight="1">
      <c r="A145" s="8" t="s">
        <v>9</v>
      </c>
      <c r="B145" s="8" t="s">
        <v>10</v>
      </c>
      <c r="C145" s="8" t="s">
        <v>11</v>
      </c>
      <c r="D145" s="8" t="s">
        <v>12</v>
      </c>
      <c r="E145" s="8" t="s">
        <v>13</v>
      </c>
      <c r="F145" s="8" t="s">
        <v>14</v>
      </c>
      <c r="G145" s="8" t="s">
        <v>15</v>
      </c>
    </row>
    <row r="146" ht="15.75" customHeight="1">
      <c r="A146" s="10" t="s">
        <v>16</v>
      </c>
      <c r="B146" s="10" t="s">
        <v>17</v>
      </c>
      <c r="C146" s="11">
        <v>20.13</v>
      </c>
      <c r="D146" s="11">
        <v>88.05</v>
      </c>
      <c r="E146" s="11">
        <f t="shared" ref="E146:E149" si="31">IF(D146&gt;0,(C146/D146)/SUMPRODUCT($C$146:$C$149/$D$146:$D$149)*100,"")</f>
        <v>20.19301001</v>
      </c>
      <c r="F146" s="11">
        <f t="shared" ref="F146:F149" si="32">IF(E146&lt;&gt;"",E146*3,"")</f>
        <v>60.57903004</v>
      </c>
      <c r="G146" s="10" t="s">
        <v>21</v>
      </c>
    </row>
    <row r="147" ht="15.75" customHeight="1">
      <c r="A147" s="12" t="s">
        <v>16</v>
      </c>
      <c r="B147" s="12" t="s">
        <v>19</v>
      </c>
      <c r="C147" s="13">
        <v>42.68</v>
      </c>
      <c r="D147" s="13">
        <v>87.78</v>
      </c>
      <c r="E147" s="13">
        <f t="shared" si="31"/>
        <v>42.94528412</v>
      </c>
      <c r="F147" s="13">
        <f t="shared" si="32"/>
        <v>128.8358524</v>
      </c>
      <c r="G147" s="12" t="s">
        <v>21</v>
      </c>
    </row>
    <row r="148" ht="15.75" customHeight="1">
      <c r="A148" s="12" t="s">
        <v>22</v>
      </c>
      <c r="B148" s="12" t="s">
        <v>23</v>
      </c>
      <c r="C148" s="13">
        <v>34.88</v>
      </c>
      <c r="D148" s="13">
        <v>88.48</v>
      </c>
      <c r="E148" s="13">
        <f t="shared" si="31"/>
        <v>34.81913745</v>
      </c>
      <c r="F148" s="13">
        <f t="shared" si="32"/>
        <v>104.4574123</v>
      </c>
      <c r="G148" s="12" t="s">
        <v>21</v>
      </c>
    </row>
    <row r="149" ht="15.75" customHeight="1">
      <c r="A149" s="14" t="s">
        <v>24</v>
      </c>
      <c r="B149" s="14" t="s">
        <v>26</v>
      </c>
      <c r="C149" s="15">
        <v>2.31</v>
      </c>
      <c r="D149" s="15">
        <v>99.89</v>
      </c>
      <c r="E149" s="15">
        <f t="shared" si="31"/>
        <v>2.042568419</v>
      </c>
      <c r="F149" s="15">
        <f t="shared" si="32"/>
        <v>6.127705257</v>
      </c>
      <c r="G149" s="14" t="s">
        <v>21</v>
      </c>
    </row>
    <row r="150" ht="15.75" customHeight="1">
      <c r="A150" s="16" t="s">
        <v>27</v>
      </c>
      <c r="B150" s="17"/>
      <c r="C150" s="18">
        <f>SUM(C146:C149)</f>
        <v>100</v>
      </c>
      <c r="D150" s="18"/>
      <c r="E150" s="18">
        <f t="shared" ref="E150:F150" si="33">SUM(E146:E149)</f>
        <v>100</v>
      </c>
      <c r="F150" s="18">
        <f t="shared" si="33"/>
        <v>300</v>
      </c>
      <c r="G150" s="16"/>
    </row>
    <row r="151" ht="15.75" customHeight="1">
      <c r="A151" s="19" t="s">
        <v>33</v>
      </c>
      <c r="B151" s="20">
        <v>24.337623999999998</v>
      </c>
      <c r="C151" s="19" t="s">
        <v>35</v>
      </c>
      <c r="D151" s="20">
        <v>79.23898299999999</v>
      </c>
      <c r="E151" s="19" t="s">
        <v>36</v>
      </c>
      <c r="F151" s="20">
        <v>20.351855999999998</v>
      </c>
      <c r="G151" s="19"/>
    </row>
    <row r="152" ht="15.75" customHeight="1">
      <c r="A152" s="19" t="s">
        <v>37</v>
      </c>
      <c r="B152" s="20">
        <v>1.02894</v>
      </c>
      <c r="C152" s="19" t="s">
        <v>38</v>
      </c>
      <c r="D152" s="20">
        <v>0.49698199999999987</v>
      </c>
      <c r="E152" s="19" t="s">
        <v>39</v>
      </c>
      <c r="F152" s="20">
        <v>2.07037679433058</v>
      </c>
      <c r="G152" s="19"/>
    </row>
    <row r="153" ht="15.75" customHeight="1">
      <c r="A153" s="19" t="s">
        <v>40</v>
      </c>
      <c r="B153" s="20">
        <v>3.115077999999999</v>
      </c>
      <c r="C153" s="19" t="s">
        <v>41</v>
      </c>
      <c r="D153" s="20">
        <v>0.0</v>
      </c>
      <c r="E153" s="19" t="s">
        <v>42</v>
      </c>
      <c r="F153" s="20">
        <v>2.0</v>
      </c>
      <c r="G153" s="19"/>
    </row>
    <row r="154" ht="15.75" customHeight="1">
      <c r="A154" s="21" t="s">
        <v>67</v>
      </c>
    </row>
    <row r="155" ht="30.0" customHeight="1">
      <c r="A155" s="22" t="s">
        <v>68</v>
      </c>
      <c r="B155" s="23"/>
      <c r="C155" s="23"/>
      <c r="D155" s="23"/>
      <c r="E155" s="23"/>
      <c r="F155" s="23"/>
      <c r="G155" s="24"/>
    </row>
    <row r="156" ht="15.75" customHeight="1"/>
    <row r="157" ht="22.5" customHeight="1">
      <c r="A157" s="3" t="s">
        <v>172</v>
      </c>
    </row>
    <row r="158" ht="15.75" customHeight="1">
      <c r="A158" s="5" t="s">
        <v>175</v>
      </c>
      <c r="B158" s="6"/>
      <c r="C158" s="6"/>
      <c r="D158" s="6"/>
      <c r="E158" s="6"/>
      <c r="F158" s="6"/>
      <c r="G158" s="7"/>
    </row>
    <row r="159" ht="30.0" customHeight="1">
      <c r="A159" s="8" t="s">
        <v>9</v>
      </c>
      <c r="B159" s="8" t="s">
        <v>10</v>
      </c>
      <c r="C159" s="8" t="s">
        <v>11</v>
      </c>
      <c r="D159" s="8" t="s">
        <v>12</v>
      </c>
      <c r="E159" s="8" t="s">
        <v>13</v>
      </c>
      <c r="F159" s="8" t="s">
        <v>14</v>
      </c>
      <c r="G159" s="8" t="s">
        <v>15</v>
      </c>
    </row>
    <row r="160" ht="15.75" customHeight="1">
      <c r="A160" s="10" t="s">
        <v>16</v>
      </c>
      <c r="B160" s="10" t="s">
        <v>19</v>
      </c>
      <c r="C160" s="11">
        <v>44.6055372534931</v>
      </c>
      <c r="D160" s="11">
        <v>87.78</v>
      </c>
      <c r="E160" s="11">
        <f t="shared" ref="E160:E163" si="34">IF(D160&gt;0,(C160/D160)/SUMPRODUCT($C$160:$C$163/$D$160:$D$163)*100,"")</f>
        <v>45.08491277</v>
      </c>
      <c r="F160" s="11">
        <f t="shared" ref="F160:F163" si="35">IF(E160&lt;&gt;"",E160*3,"")</f>
        <v>135.2547383</v>
      </c>
      <c r="G160" s="10" t="s">
        <v>21</v>
      </c>
    </row>
    <row r="161" ht="15.75" customHeight="1">
      <c r="A161" s="12" t="s">
        <v>16</v>
      </c>
      <c r="B161" s="12" t="s">
        <v>52</v>
      </c>
      <c r="C161" s="13">
        <v>18.53557170380753</v>
      </c>
      <c r="D161" s="13">
        <v>90.57</v>
      </c>
      <c r="E161" s="13">
        <f t="shared" si="34"/>
        <v>18.15765055</v>
      </c>
      <c r="F161" s="13">
        <f t="shared" si="35"/>
        <v>54.47295165</v>
      </c>
      <c r="G161" s="12" t="s">
        <v>21</v>
      </c>
    </row>
    <row r="162" ht="15.75" customHeight="1">
      <c r="A162" s="12" t="s">
        <v>22</v>
      </c>
      <c r="B162" s="12" t="s">
        <v>23</v>
      </c>
      <c r="C162" s="13">
        <v>35.08799898221581</v>
      </c>
      <c r="D162" s="13">
        <v>88.48</v>
      </c>
      <c r="E162" s="13">
        <f t="shared" si="34"/>
        <v>35.18451132</v>
      </c>
      <c r="F162" s="13">
        <f t="shared" si="35"/>
        <v>105.553534</v>
      </c>
      <c r="G162" s="12" t="s">
        <v>21</v>
      </c>
    </row>
    <row r="163" ht="15.75" customHeight="1">
      <c r="A163" s="14" t="s">
        <v>24</v>
      </c>
      <c r="B163" s="14" t="s">
        <v>26</v>
      </c>
      <c r="C163" s="15">
        <v>1.7708920604835632</v>
      </c>
      <c r="D163" s="15">
        <v>99.89</v>
      </c>
      <c r="E163" s="15">
        <f t="shared" si="34"/>
        <v>1.572925356</v>
      </c>
      <c r="F163" s="15">
        <f t="shared" si="35"/>
        <v>4.718776068</v>
      </c>
      <c r="G163" s="14" t="s">
        <v>21</v>
      </c>
    </row>
    <row r="164" ht="15.75" customHeight="1">
      <c r="A164" s="16" t="s">
        <v>27</v>
      </c>
      <c r="B164" s="17"/>
      <c r="C164" s="18">
        <f>SUM(C160:C163)</f>
        <v>100</v>
      </c>
      <c r="D164" s="18"/>
      <c r="E164" s="18">
        <f t="shared" ref="E164:F164" si="36">SUM(E160:E163)</f>
        <v>100</v>
      </c>
      <c r="F164" s="18">
        <f t="shared" si="36"/>
        <v>300</v>
      </c>
      <c r="G164" s="16"/>
    </row>
    <row r="165" ht="15.75" customHeight="1">
      <c r="A165" s="19" t="s">
        <v>33</v>
      </c>
      <c r="B165" s="20">
        <v>23.801916932907346</v>
      </c>
      <c r="C165" s="19" t="s">
        <v>35</v>
      </c>
      <c r="D165" s="20">
        <v>80.64684942746773</v>
      </c>
      <c r="E165" s="19" t="s">
        <v>36</v>
      </c>
      <c r="F165" s="20">
        <v>16.94426205912853</v>
      </c>
      <c r="G165" s="19"/>
    </row>
    <row r="166" ht="15.75" customHeight="1">
      <c r="A166" s="19" t="s">
        <v>37</v>
      </c>
      <c r="B166" s="20">
        <v>0.8146964856229209</v>
      </c>
      <c r="C166" s="19" t="s">
        <v>38</v>
      </c>
      <c r="D166" s="20">
        <v>0.37656702750173754</v>
      </c>
      <c r="E166" s="19" t="s">
        <v>39</v>
      </c>
      <c r="F166" s="20">
        <v>2.1634833273318432</v>
      </c>
      <c r="G166" s="19"/>
    </row>
    <row r="167" ht="15.75" customHeight="1">
      <c r="A167" s="19" t="s">
        <v>40</v>
      </c>
      <c r="B167" s="20">
        <v>3.4294262677901144</v>
      </c>
      <c r="C167" s="19" t="s">
        <v>41</v>
      </c>
      <c r="D167" s="20">
        <v>0.0</v>
      </c>
      <c r="E167" s="19" t="s">
        <v>42</v>
      </c>
      <c r="F167" s="20">
        <v>2.0</v>
      </c>
      <c r="G167" s="19"/>
    </row>
    <row r="168" ht="15.75" customHeight="1">
      <c r="A168" s="21" t="s">
        <v>182</v>
      </c>
    </row>
    <row r="169" ht="30.0" customHeight="1">
      <c r="A169" s="22" t="s">
        <v>183</v>
      </c>
      <c r="B169" s="23"/>
      <c r="C169" s="23"/>
      <c r="D169" s="23"/>
      <c r="E169" s="23"/>
      <c r="F169" s="23"/>
      <c r="G169" s="24"/>
    </row>
    <row r="170" ht="15.75" customHeight="1"/>
    <row r="171" ht="22.5" customHeight="1">
      <c r="A171" s="3" t="s">
        <v>184</v>
      </c>
    </row>
    <row r="172" ht="15.75" customHeight="1">
      <c r="A172" s="5" t="s">
        <v>185</v>
      </c>
      <c r="B172" s="6"/>
      <c r="C172" s="6"/>
      <c r="D172" s="6"/>
      <c r="E172" s="6"/>
      <c r="F172" s="6"/>
      <c r="G172" s="7"/>
    </row>
    <row r="173" ht="30.0" customHeight="1">
      <c r="A173" s="8" t="s">
        <v>9</v>
      </c>
      <c r="B173" s="8" t="s">
        <v>10</v>
      </c>
      <c r="C173" s="8" t="s">
        <v>11</v>
      </c>
      <c r="D173" s="8" t="s">
        <v>12</v>
      </c>
      <c r="E173" s="8" t="s">
        <v>13</v>
      </c>
      <c r="F173" s="8" t="s">
        <v>14</v>
      </c>
      <c r="G173" s="8" t="s">
        <v>15</v>
      </c>
    </row>
    <row r="174" ht="15.75" customHeight="1">
      <c r="A174" s="10" t="s">
        <v>16</v>
      </c>
      <c r="B174" s="10" t="s">
        <v>17</v>
      </c>
      <c r="C174" s="11">
        <v>9.842839781426377</v>
      </c>
      <c r="D174" s="11">
        <v>88.05</v>
      </c>
      <c r="E174" s="11">
        <f t="shared" ref="E174:E177" si="37">IF(D174&gt;0,(C174/D174)/SUMPRODUCT($C$174:$C$177/$D$174:$D$177)*100,"")</f>
        <v>9.840439576</v>
      </c>
      <c r="F174" s="11">
        <f t="shared" ref="F174:F177" si="38">IF(E174&lt;&gt;"",E174*3,"")</f>
        <v>29.52131873</v>
      </c>
      <c r="G174" s="10" t="s">
        <v>21</v>
      </c>
    </row>
    <row r="175" ht="15.75" customHeight="1">
      <c r="A175" s="12" t="s">
        <v>16</v>
      </c>
      <c r="B175" s="12" t="s">
        <v>19</v>
      </c>
      <c r="C175" s="13">
        <v>82.24205378294879</v>
      </c>
      <c r="D175" s="13">
        <v>87.78</v>
      </c>
      <c r="E175" s="13">
        <f t="shared" si="37"/>
        <v>82.47490312</v>
      </c>
      <c r="F175" s="13">
        <f t="shared" si="38"/>
        <v>247.4247094</v>
      </c>
      <c r="G175" s="12" t="s">
        <v>21</v>
      </c>
    </row>
    <row r="176" ht="15.75" customHeight="1">
      <c r="A176" s="12" t="s">
        <v>22</v>
      </c>
      <c r="B176" s="12" t="s">
        <v>23</v>
      </c>
      <c r="C176" s="13">
        <v>6.242654677888067</v>
      </c>
      <c r="D176" s="13">
        <v>88.48</v>
      </c>
      <c r="E176" s="13">
        <f t="shared" si="37"/>
        <v>6.210801388</v>
      </c>
      <c r="F176" s="13">
        <f t="shared" si="38"/>
        <v>18.63240416</v>
      </c>
      <c r="G176" s="12" t="s">
        <v>21</v>
      </c>
    </row>
    <row r="177" ht="15.75" customHeight="1">
      <c r="A177" s="14" t="s">
        <v>24</v>
      </c>
      <c r="B177" s="14" t="s">
        <v>26</v>
      </c>
      <c r="C177" s="15">
        <v>1.67245175773675</v>
      </c>
      <c r="D177" s="15">
        <v>99.89</v>
      </c>
      <c r="E177" s="15">
        <f t="shared" si="37"/>
        <v>1.473855918</v>
      </c>
      <c r="F177" s="15">
        <f t="shared" si="38"/>
        <v>4.421567754</v>
      </c>
      <c r="G177" s="14" t="s">
        <v>21</v>
      </c>
    </row>
    <row r="178" ht="15.75" customHeight="1">
      <c r="A178" s="16" t="s">
        <v>27</v>
      </c>
      <c r="B178" s="17"/>
      <c r="C178" s="18">
        <f>SUM(C174:C177)</f>
        <v>100</v>
      </c>
      <c r="D178" s="18"/>
      <c r="E178" s="18">
        <f t="shared" ref="E178:F178" si="39">SUM(E174:E177)</f>
        <v>100</v>
      </c>
      <c r="F178" s="18">
        <f t="shared" si="39"/>
        <v>300</v>
      </c>
      <c r="G178" s="16"/>
    </row>
    <row r="179" ht="15.75" customHeight="1">
      <c r="A179" s="19" t="s">
        <v>33</v>
      </c>
      <c r="B179" s="20">
        <v>12.213039485766757</v>
      </c>
      <c r="C179" s="19" t="s">
        <v>35</v>
      </c>
      <c r="D179" s="20">
        <v>82.81540017497761</v>
      </c>
      <c r="E179" s="19" t="s">
        <v>36</v>
      </c>
      <c r="F179" s="20">
        <v>17.12103993127276</v>
      </c>
      <c r="G179" s="19"/>
    </row>
    <row r="180" ht="15.75" customHeight="1">
      <c r="A180" s="19" t="s">
        <v>37</v>
      </c>
      <c r="B180" s="20">
        <v>0.6886355036713017</v>
      </c>
      <c r="C180" s="19" t="s">
        <v>38</v>
      </c>
      <c r="D180" s="20">
        <v>0.3348624892206582</v>
      </c>
      <c r="E180" s="19" t="s">
        <v>39</v>
      </c>
      <c r="F180" s="20">
        <v>2.056472509877104</v>
      </c>
      <c r="G180" s="19"/>
    </row>
    <row r="181" ht="15.75" customHeight="1">
      <c r="A181" s="19" t="s">
        <v>40</v>
      </c>
      <c r="B181" s="20">
        <v>3.8993379691653645</v>
      </c>
      <c r="C181" s="19" t="s">
        <v>41</v>
      </c>
      <c r="D181" s="20">
        <v>0.0</v>
      </c>
      <c r="E181" s="19" t="s">
        <v>42</v>
      </c>
      <c r="F181" s="20">
        <v>1.0</v>
      </c>
      <c r="G181" s="19"/>
    </row>
    <row r="182" ht="15.75" customHeight="1">
      <c r="A182" s="21" t="s">
        <v>193</v>
      </c>
    </row>
    <row r="183" ht="30.0" customHeight="1">
      <c r="A183" s="22" t="s">
        <v>194</v>
      </c>
      <c r="B183" s="23"/>
      <c r="C183" s="23"/>
      <c r="D183" s="23"/>
      <c r="E183" s="23"/>
      <c r="F183" s="23"/>
      <c r="G183" s="24"/>
    </row>
    <row r="184" ht="15.75" customHeight="1"/>
    <row r="185" ht="22.5" customHeight="1">
      <c r="A185" s="3" t="s">
        <v>196</v>
      </c>
    </row>
    <row r="186" ht="15.75" customHeight="1">
      <c r="A186" s="5" t="s">
        <v>86</v>
      </c>
      <c r="B186" s="6"/>
      <c r="C186" s="6"/>
      <c r="D186" s="6"/>
      <c r="E186" s="6"/>
      <c r="F186" s="6"/>
      <c r="G186" s="7"/>
    </row>
    <row r="187" ht="30.0" customHeight="1">
      <c r="A187" s="8" t="s">
        <v>9</v>
      </c>
      <c r="B187" s="8" t="s">
        <v>10</v>
      </c>
      <c r="C187" s="8" t="s">
        <v>11</v>
      </c>
      <c r="D187" s="8" t="s">
        <v>12</v>
      </c>
      <c r="E187" s="8" t="s">
        <v>13</v>
      </c>
      <c r="F187" s="8" t="s">
        <v>14</v>
      </c>
      <c r="G187" s="8" t="s">
        <v>15</v>
      </c>
    </row>
    <row r="188" ht="15.75" customHeight="1">
      <c r="A188" s="10" t="s">
        <v>16</v>
      </c>
      <c r="B188" s="10" t="s">
        <v>19</v>
      </c>
      <c r="C188" s="11">
        <v>47.95</v>
      </c>
      <c r="D188" s="11">
        <v>87.78</v>
      </c>
      <c r="E188" s="11">
        <f t="shared" ref="E188:E191" si="40">IF(D188&gt;0,(C188/D188)/SUMPRODUCT($C$188:$C$191/$D$188:$D$191)*100,"")</f>
        <v>48.76651205</v>
      </c>
      <c r="F188" s="11">
        <f t="shared" ref="F188:F191" si="41">IF(E188&lt;&gt;"",E188*3,"")</f>
        <v>146.2995362</v>
      </c>
      <c r="G188" s="10" t="s">
        <v>21</v>
      </c>
    </row>
    <row r="189" ht="15.75" customHeight="1">
      <c r="A189" s="12" t="s">
        <v>16</v>
      </c>
      <c r="B189" s="12" t="s">
        <v>52</v>
      </c>
      <c r="C189" s="13">
        <v>48.07</v>
      </c>
      <c r="D189" s="13">
        <v>90.57</v>
      </c>
      <c r="E189" s="13">
        <f t="shared" si="40"/>
        <v>47.38254829</v>
      </c>
      <c r="F189" s="13">
        <f t="shared" si="41"/>
        <v>142.1476449</v>
      </c>
      <c r="G189" s="12" t="s">
        <v>21</v>
      </c>
    </row>
    <row r="190" ht="15.75" customHeight="1">
      <c r="A190" s="12" t="s">
        <v>22</v>
      </c>
      <c r="B190" s="12" t="s">
        <v>23</v>
      </c>
      <c r="C190" s="13">
        <v>2.55</v>
      </c>
      <c r="D190" s="13">
        <v>88.48</v>
      </c>
      <c r="E190" s="13">
        <f t="shared" si="40"/>
        <v>2.572904852</v>
      </c>
      <c r="F190" s="13">
        <f t="shared" si="41"/>
        <v>7.718714555</v>
      </c>
      <c r="G190" s="12" t="s">
        <v>21</v>
      </c>
    </row>
    <row r="191" ht="15.75" customHeight="1">
      <c r="A191" s="14" t="s">
        <v>24</v>
      </c>
      <c r="B191" s="14" t="s">
        <v>26</v>
      </c>
      <c r="C191" s="15">
        <v>1.43</v>
      </c>
      <c r="D191" s="15">
        <v>99.89</v>
      </c>
      <c r="E191" s="15">
        <f t="shared" si="40"/>
        <v>1.278034813</v>
      </c>
      <c r="F191" s="15">
        <f t="shared" si="41"/>
        <v>3.834104438</v>
      </c>
      <c r="G191" s="14" t="s">
        <v>21</v>
      </c>
    </row>
    <row r="192" ht="15.75" customHeight="1">
      <c r="A192" s="16" t="s">
        <v>27</v>
      </c>
      <c r="B192" s="17"/>
      <c r="C192" s="18">
        <f>SUM(C188:C191)</f>
        <v>100</v>
      </c>
      <c r="D192" s="18"/>
      <c r="E192" s="18">
        <f t="shared" ref="E192:F192" si="42">SUM(E188:E191)</f>
        <v>100</v>
      </c>
      <c r="F192" s="18">
        <f t="shared" si="42"/>
        <v>300</v>
      </c>
      <c r="G192" s="16"/>
    </row>
    <row r="193" ht="15.75" customHeight="1">
      <c r="A193" s="19" t="s">
        <v>33</v>
      </c>
      <c r="B193" s="20">
        <v>12.437577</v>
      </c>
      <c r="C193" s="19" t="s">
        <v>35</v>
      </c>
      <c r="D193" s="20">
        <v>79.477868</v>
      </c>
      <c r="E193" s="19" t="s">
        <v>36</v>
      </c>
      <c r="F193" s="20">
        <v>20.602523</v>
      </c>
      <c r="G193" s="19"/>
    </row>
    <row r="194" ht="15.75" customHeight="1">
      <c r="A194" s="19" t="s">
        <v>37</v>
      </c>
      <c r="B194" s="20">
        <v>0.6193960000000001</v>
      </c>
      <c r="C194" s="19" t="s">
        <v>38</v>
      </c>
      <c r="D194" s="20">
        <v>0.30279799999999996</v>
      </c>
      <c r="E194" s="19" t="s">
        <v>39</v>
      </c>
      <c r="F194" s="20">
        <v>2.0455749377472774</v>
      </c>
      <c r="G194" s="19"/>
    </row>
    <row r="195" ht="15.75" customHeight="1">
      <c r="A195" s="19" t="s">
        <v>40</v>
      </c>
      <c r="B195" s="20">
        <v>4.514926</v>
      </c>
      <c r="C195" s="19" t="s">
        <v>41</v>
      </c>
      <c r="D195" s="20">
        <v>0.0</v>
      </c>
      <c r="E195" s="19" t="s">
        <v>42</v>
      </c>
      <c r="F195" s="20">
        <v>1.0</v>
      </c>
      <c r="G195" s="19"/>
    </row>
    <row r="196" ht="15.75" customHeight="1">
      <c r="A196" s="21" t="s">
        <v>119</v>
      </c>
    </row>
    <row r="197" ht="30.0" customHeight="1">
      <c r="A197" s="22" t="s">
        <v>120</v>
      </c>
      <c r="B197" s="23"/>
      <c r="C197" s="23"/>
      <c r="D197" s="23"/>
      <c r="E197" s="23"/>
      <c r="F197" s="23"/>
      <c r="G197" s="24"/>
    </row>
    <row r="198" ht="15.75" customHeight="1"/>
    <row r="199" ht="22.5" customHeight="1">
      <c r="A199" s="3" t="s">
        <v>202</v>
      </c>
    </row>
    <row r="200" ht="15.75" customHeight="1">
      <c r="A200" s="5" t="s">
        <v>124</v>
      </c>
      <c r="B200" s="6"/>
      <c r="C200" s="6"/>
      <c r="D200" s="6"/>
      <c r="E200" s="6"/>
      <c r="F200" s="6"/>
      <c r="G200" s="7"/>
    </row>
    <row r="201" ht="30.0" customHeight="1">
      <c r="A201" s="8" t="s">
        <v>9</v>
      </c>
      <c r="B201" s="8" t="s">
        <v>10</v>
      </c>
      <c r="C201" s="8" t="s">
        <v>11</v>
      </c>
      <c r="D201" s="8" t="s">
        <v>12</v>
      </c>
      <c r="E201" s="8" t="s">
        <v>13</v>
      </c>
      <c r="F201" s="8" t="s">
        <v>14</v>
      </c>
      <c r="G201" s="8" t="s">
        <v>15</v>
      </c>
    </row>
    <row r="202" ht="15.75" customHeight="1">
      <c r="A202" s="10" t="s">
        <v>16</v>
      </c>
      <c r="B202" s="10" t="s">
        <v>17</v>
      </c>
      <c r="C202" s="11">
        <v>27.04</v>
      </c>
      <c r="D202" s="11">
        <v>88.05</v>
      </c>
      <c r="E202" s="11">
        <f t="shared" ref="E202:E205" si="43">IF(D202&gt;0,(C202/D202)/SUMPRODUCT($C$202:$C$205/$D$202:$D$205)*100,"")</f>
        <v>27.06868384</v>
      </c>
      <c r="F202" s="11">
        <f t="shared" ref="F202:F205" si="44">IF(E202&lt;&gt;"",E202*3,"")</f>
        <v>81.20605152</v>
      </c>
      <c r="G202" s="10" t="s">
        <v>21</v>
      </c>
    </row>
    <row r="203" ht="15.75" customHeight="1">
      <c r="A203" s="12" t="s">
        <v>16</v>
      </c>
      <c r="B203" s="12" t="s">
        <v>19</v>
      </c>
      <c r="C203" s="13">
        <v>63.27</v>
      </c>
      <c r="D203" s="13">
        <v>87.78</v>
      </c>
      <c r="E203" s="13">
        <f t="shared" si="43"/>
        <v>63.5319332</v>
      </c>
      <c r="F203" s="13">
        <f t="shared" si="44"/>
        <v>190.5957996</v>
      </c>
      <c r="G203" s="12" t="s">
        <v>21</v>
      </c>
    </row>
    <row r="204" ht="15.75" customHeight="1">
      <c r="A204" s="12" t="s">
        <v>22</v>
      </c>
      <c r="B204" s="12" t="s">
        <v>23</v>
      </c>
      <c r="C204" s="13">
        <v>7.46</v>
      </c>
      <c r="D204" s="13">
        <v>88.48</v>
      </c>
      <c r="E204" s="13">
        <f t="shared" si="43"/>
        <v>7.431620536</v>
      </c>
      <c r="F204" s="13">
        <f t="shared" si="44"/>
        <v>22.29486161</v>
      </c>
      <c r="G204" s="12" t="s">
        <v>21</v>
      </c>
    </row>
    <row r="205" ht="15.75" customHeight="1">
      <c r="A205" s="14" t="s">
        <v>24</v>
      </c>
      <c r="B205" s="14" t="s">
        <v>26</v>
      </c>
      <c r="C205" s="15">
        <v>2.23</v>
      </c>
      <c r="D205" s="15">
        <v>99.89</v>
      </c>
      <c r="E205" s="15">
        <f t="shared" si="43"/>
        <v>1.967762422</v>
      </c>
      <c r="F205" s="15">
        <f t="shared" si="44"/>
        <v>5.903287265</v>
      </c>
      <c r="G205" s="14" t="s">
        <v>21</v>
      </c>
    </row>
    <row r="206" ht="15.75" customHeight="1">
      <c r="A206" s="16" t="s">
        <v>27</v>
      </c>
      <c r="B206" s="17"/>
      <c r="C206" s="18">
        <f>SUM(C202:C205)</f>
        <v>100</v>
      </c>
      <c r="D206" s="18"/>
      <c r="E206" s="18">
        <f t="shared" ref="E206:F206" si="45">SUM(E202:E205)</f>
        <v>100</v>
      </c>
      <c r="F206" s="18">
        <f t="shared" si="45"/>
        <v>300</v>
      </c>
      <c r="G206" s="16"/>
    </row>
    <row r="207" ht="15.75" customHeight="1">
      <c r="A207" s="19" t="s">
        <v>33</v>
      </c>
      <c r="B207" s="20">
        <v>14.024314000000002</v>
      </c>
      <c r="C207" s="19" t="s">
        <v>35</v>
      </c>
      <c r="D207" s="20">
        <v>79.74667900000001</v>
      </c>
      <c r="E207" s="19" t="s">
        <v>36</v>
      </c>
      <c r="F207" s="20">
        <v>22.137939</v>
      </c>
      <c r="G207" s="19"/>
    </row>
    <row r="208" ht="15.75" customHeight="1">
      <c r="A208" s="19" t="s">
        <v>37</v>
      </c>
      <c r="B208" s="20">
        <v>0.9278799999999998</v>
      </c>
      <c r="C208" s="19" t="s">
        <v>38</v>
      </c>
      <c r="D208" s="20">
        <v>0.4578</v>
      </c>
      <c r="E208" s="19" t="s">
        <v>39</v>
      </c>
      <c r="F208" s="20">
        <v>2.026823940585408</v>
      </c>
      <c r="G208" s="19"/>
    </row>
    <row r="209" ht="15.75" customHeight="1">
      <c r="A209" s="19" t="s">
        <v>40</v>
      </c>
      <c r="B209" s="20">
        <v>3.7432679999999996</v>
      </c>
      <c r="C209" s="19" t="s">
        <v>41</v>
      </c>
      <c r="D209" s="20">
        <v>0.0</v>
      </c>
      <c r="E209" s="19" t="s">
        <v>42</v>
      </c>
      <c r="F209" s="20">
        <v>1.0</v>
      </c>
      <c r="G209" s="19"/>
    </row>
    <row r="210" ht="15.75" customHeight="1">
      <c r="A210" s="21" t="s">
        <v>128</v>
      </c>
    </row>
    <row r="211" ht="30.0" customHeight="1">
      <c r="A211" s="22" t="s">
        <v>129</v>
      </c>
      <c r="B211" s="23"/>
      <c r="C211" s="23"/>
      <c r="D211" s="23"/>
      <c r="E211" s="23"/>
      <c r="F211" s="23"/>
      <c r="G211" s="24"/>
    </row>
    <row r="212" ht="15.75" customHeight="1"/>
    <row r="213" ht="22.5" customHeight="1">
      <c r="A213" s="3" t="s">
        <v>211</v>
      </c>
    </row>
    <row r="214" ht="15.75" customHeight="1">
      <c r="A214" s="5" t="s">
        <v>124</v>
      </c>
      <c r="B214" s="6"/>
      <c r="C214" s="6"/>
      <c r="D214" s="6"/>
      <c r="E214" s="6"/>
      <c r="F214" s="6"/>
      <c r="G214" s="7"/>
    </row>
    <row r="215" ht="30.0" customHeight="1">
      <c r="A215" s="8" t="s">
        <v>9</v>
      </c>
      <c r="B215" s="8" t="s">
        <v>10</v>
      </c>
      <c r="C215" s="8" t="s">
        <v>11</v>
      </c>
      <c r="D215" s="8" t="s">
        <v>12</v>
      </c>
      <c r="E215" s="8" t="s">
        <v>13</v>
      </c>
      <c r="F215" s="8" t="s">
        <v>14</v>
      </c>
      <c r="G215" s="8" t="s">
        <v>15</v>
      </c>
    </row>
    <row r="216" ht="15.75" customHeight="1">
      <c r="A216" s="10" t="s">
        <v>16</v>
      </c>
      <c r="B216" s="10" t="s">
        <v>19</v>
      </c>
      <c r="C216" s="11">
        <v>49.2</v>
      </c>
      <c r="D216" s="11">
        <v>87.78</v>
      </c>
      <c r="E216" s="11">
        <f t="shared" ref="E216:E219" si="46">IF(D216&gt;0,(C216/D216)/SUMPRODUCT($C$216:$C$219/$D$216:$D$219)*100,"")</f>
        <v>49.96938673</v>
      </c>
      <c r="F216" s="11">
        <f t="shared" ref="F216:F219" si="47">IF(E216&lt;&gt;"",E216*3,"")</f>
        <v>149.9081602</v>
      </c>
      <c r="G216" s="10" t="s">
        <v>21</v>
      </c>
    </row>
    <row r="217" ht="15.75" customHeight="1">
      <c r="A217" s="12" t="s">
        <v>16</v>
      </c>
      <c r="B217" s="12" t="s">
        <v>52</v>
      </c>
      <c r="C217" s="13">
        <v>41.83</v>
      </c>
      <c r="D217" s="13">
        <v>90.57</v>
      </c>
      <c r="E217" s="13">
        <f t="shared" si="46"/>
        <v>41.17541547</v>
      </c>
      <c r="F217" s="13">
        <f t="shared" si="47"/>
        <v>123.5262464</v>
      </c>
      <c r="G217" s="12" t="s">
        <v>21</v>
      </c>
    </row>
    <row r="218" ht="15.75" customHeight="1">
      <c r="A218" s="12" t="s">
        <v>22</v>
      </c>
      <c r="B218" s="12" t="s">
        <v>23</v>
      </c>
      <c r="C218" s="13">
        <v>7.380000000000001</v>
      </c>
      <c r="D218" s="13">
        <v>88.48</v>
      </c>
      <c r="E218" s="13">
        <f t="shared" si="46"/>
        <v>7.436108896</v>
      </c>
      <c r="F218" s="13">
        <f t="shared" si="47"/>
        <v>22.30832669</v>
      </c>
      <c r="G218" s="12" t="s">
        <v>21</v>
      </c>
    </row>
    <row r="219" ht="15.75" customHeight="1">
      <c r="A219" s="14" t="s">
        <v>24</v>
      </c>
      <c r="B219" s="14" t="s">
        <v>26</v>
      </c>
      <c r="C219" s="15">
        <v>1.59</v>
      </c>
      <c r="D219" s="15">
        <v>99.89</v>
      </c>
      <c r="E219" s="15">
        <f t="shared" si="46"/>
        <v>1.419088904</v>
      </c>
      <c r="F219" s="15">
        <f t="shared" si="47"/>
        <v>4.257266713</v>
      </c>
      <c r="G219" s="14" t="s">
        <v>21</v>
      </c>
    </row>
    <row r="220" ht="15.75" customHeight="1">
      <c r="A220" s="16" t="s">
        <v>27</v>
      </c>
      <c r="B220" s="17"/>
      <c r="C220" s="18">
        <f>SUM(C216:C219)</f>
        <v>100</v>
      </c>
      <c r="D220" s="18"/>
      <c r="E220" s="18">
        <f t="shared" ref="E220:F220" si="48">SUM(E216:E219)</f>
        <v>100</v>
      </c>
      <c r="F220" s="18">
        <f t="shared" si="48"/>
        <v>300</v>
      </c>
      <c r="G220" s="16"/>
    </row>
    <row r="221" ht="15.75" customHeight="1">
      <c r="A221" s="19" t="s">
        <v>33</v>
      </c>
      <c r="B221" s="20">
        <v>14.019730999999998</v>
      </c>
      <c r="C221" s="19" t="s">
        <v>35</v>
      </c>
      <c r="D221" s="20">
        <v>79.75752600000001</v>
      </c>
      <c r="E221" s="19" t="s">
        <v>36</v>
      </c>
      <c r="F221" s="20">
        <v>19.796913000000004</v>
      </c>
      <c r="G221" s="19"/>
    </row>
    <row r="222" ht="15.75" customHeight="1">
      <c r="A222" s="19" t="s">
        <v>37</v>
      </c>
      <c r="B222" s="20">
        <v>0.687358</v>
      </c>
      <c r="C222" s="19" t="s">
        <v>38</v>
      </c>
      <c r="D222" s="20">
        <v>0.31163</v>
      </c>
      <c r="E222" s="19" t="s">
        <v>39</v>
      </c>
      <c r="F222" s="20">
        <v>2.2056862304656164</v>
      </c>
      <c r="G222" s="19"/>
    </row>
    <row r="223" ht="15.75" customHeight="1">
      <c r="A223" s="19" t="s">
        <v>40</v>
      </c>
      <c r="B223" s="20">
        <v>4.331588999999999</v>
      </c>
      <c r="C223" s="19" t="s">
        <v>41</v>
      </c>
      <c r="D223" s="20">
        <v>0.0</v>
      </c>
      <c r="E223" s="19" t="s">
        <v>42</v>
      </c>
      <c r="F223" s="20">
        <v>1.0</v>
      </c>
      <c r="G223" s="19"/>
    </row>
    <row r="224" ht="15.75" customHeight="1">
      <c r="A224" s="21" t="s">
        <v>133</v>
      </c>
    </row>
    <row r="225" ht="30.0" customHeight="1">
      <c r="A225" s="22" t="s">
        <v>134</v>
      </c>
      <c r="B225" s="23"/>
      <c r="C225" s="23"/>
      <c r="D225" s="23"/>
      <c r="E225" s="23"/>
      <c r="F225" s="23"/>
      <c r="G225" s="24"/>
    </row>
    <row r="226" ht="15.75" customHeight="1"/>
    <row r="227" ht="22.5" customHeight="1">
      <c r="A227" s="3" t="s">
        <v>215</v>
      </c>
    </row>
    <row r="228" ht="15.75" customHeight="1">
      <c r="A228" s="5" t="s">
        <v>8</v>
      </c>
      <c r="B228" s="6"/>
      <c r="C228" s="6"/>
      <c r="D228" s="6"/>
      <c r="E228" s="6"/>
      <c r="F228" s="6"/>
      <c r="G228" s="7"/>
    </row>
    <row r="229" ht="30.0" customHeight="1">
      <c r="A229" s="8" t="s">
        <v>9</v>
      </c>
      <c r="B229" s="8" t="s">
        <v>10</v>
      </c>
      <c r="C229" s="8" t="s">
        <v>11</v>
      </c>
      <c r="D229" s="8" t="s">
        <v>12</v>
      </c>
      <c r="E229" s="8" t="s">
        <v>13</v>
      </c>
      <c r="F229" s="8" t="s">
        <v>14</v>
      </c>
      <c r="G229" s="8" t="s">
        <v>15</v>
      </c>
    </row>
    <row r="230" ht="15.75" customHeight="1">
      <c r="A230" s="10" t="s">
        <v>16</v>
      </c>
      <c r="B230" s="10" t="s">
        <v>17</v>
      </c>
      <c r="C230" s="11">
        <v>9.12</v>
      </c>
      <c r="D230" s="11">
        <v>88.05</v>
      </c>
      <c r="E230" s="11">
        <f t="shared" ref="E230:E233" si="49">IF(D230&gt;0,(C230/D230)/SUMPRODUCT($C$230:$C$233/$D$230:$D$233)*100,"")</f>
        <v>9.131621776</v>
      </c>
      <c r="F230" s="11">
        <f t="shared" ref="F230:F233" si="50">IF(E230&lt;&gt;"",E230*3,"")</f>
        <v>27.39486533</v>
      </c>
      <c r="G230" s="10" t="s">
        <v>21</v>
      </c>
    </row>
    <row r="231" ht="15.75" customHeight="1">
      <c r="A231" s="12" t="s">
        <v>16</v>
      </c>
      <c r="B231" s="12" t="s">
        <v>19</v>
      </c>
      <c r="C231" s="13">
        <v>66.26</v>
      </c>
      <c r="D231" s="13">
        <v>87.78</v>
      </c>
      <c r="E231" s="13">
        <f t="shared" si="49"/>
        <v>66.54850324</v>
      </c>
      <c r="F231" s="13">
        <f t="shared" si="50"/>
        <v>199.6455097</v>
      </c>
      <c r="G231" s="12" t="s">
        <v>21</v>
      </c>
    </row>
    <row r="232" ht="15.75" customHeight="1">
      <c r="A232" s="12" t="s">
        <v>22</v>
      </c>
      <c r="B232" s="12" t="s">
        <v>23</v>
      </c>
      <c r="C232" s="13">
        <v>22.76</v>
      </c>
      <c r="D232" s="13">
        <v>88.48</v>
      </c>
      <c r="E232" s="13">
        <f t="shared" si="49"/>
        <v>22.67825221</v>
      </c>
      <c r="F232" s="13">
        <f t="shared" si="50"/>
        <v>68.03475662</v>
      </c>
      <c r="G232" s="12" t="s">
        <v>21</v>
      </c>
    </row>
    <row r="233" ht="15.75" customHeight="1">
      <c r="A233" s="14" t="s">
        <v>24</v>
      </c>
      <c r="B233" s="14" t="s">
        <v>26</v>
      </c>
      <c r="C233" s="15">
        <v>1.86</v>
      </c>
      <c r="D233" s="15">
        <v>99.89</v>
      </c>
      <c r="E233" s="15">
        <f t="shared" si="49"/>
        <v>1.641622773</v>
      </c>
      <c r="F233" s="15">
        <f t="shared" si="50"/>
        <v>4.924868319</v>
      </c>
      <c r="G233" s="14" t="s">
        <v>21</v>
      </c>
    </row>
    <row r="234" ht="15.75" customHeight="1">
      <c r="A234" s="16" t="s">
        <v>27</v>
      </c>
      <c r="B234" s="17"/>
      <c r="C234" s="18">
        <f>SUM(C230:C233)</f>
        <v>100</v>
      </c>
      <c r="D234" s="18"/>
      <c r="E234" s="18">
        <f t="shared" ref="E234:F234" si="51">SUM(E230:E233)</f>
        <v>100</v>
      </c>
      <c r="F234" s="18">
        <f t="shared" si="51"/>
        <v>300</v>
      </c>
      <c r="G234" s="16"/>
    </row>
    <row r="235" ht="15.75" customHeight="1">
      <c r="A235" s="19" t="s">
        <v>33</v>
      </c>
      <c r="B235" s="20">
        <v>18.688779999999998</v>
      </c>
      <c r="C235" s="19" t="s">
        <v>35</v>
      </c>
      <c r="D235" s="20">
        <v>81.88474599999999</v>
      </c>
      <c r="E235" s="19" t="s">
        <v>36</v>
      </c>
      <c r="F235" s="20">
        <v>17.042178000000003</v>
      </c>
      <c r="G235" s="19"/>
    </row>
    <row r="236" ht="15.75" customHeight="1">
      <c r="A236" s="19" t="s">
        <v>37</v>
      </c>
      <c r="B236" s="20">
        <v>0.8070240000000001</v>
      </c>
      <c r="C236" s="19" t="s">
        <v>38</v>
      </c>
      <c r="D236" s="20">
        <v>0.38220800000000005</v>
      </c>
      <c r="E236" s="19" t="s">
        <v>39</v>
      </c>
      <c r="F236" s="20">
        <v>2.1114785666443403</v>
      </c>
      <c r="G236" s="19"/>
    </row>
    <row r="237" ht="15.75" customHeight="1">
      <c r="A237" s="19" t="s">
        <v>40</v>
      </c>
      <c r="B237" s="20">
        <v>3.494464</v>
      </c>
      <c r="C237" s="19" t="s">
        <v>41</v>
      </c>
      <c r="D237" s="20">
        <v>0.0</v>
      </c>
      <c r="E237" s="19" t="s">
        <v>42</v>
      </c>
      <c r="F237" s="20">
        <v>2.0</v>
      </c>
      <c r="G237" s="19"/>
    </row>
    <row r="238" ht="15.75" customHeight="1">
      <c r="A238" s="21" t="s">
        <v>44</v>
      </c>
    </row>
    <row r="239" ht="30.0" customHeight="1">
      <c r="A239" s="22" t="s">
        <v>46</v>
      </c>
      <c r="B239" s="23"/>
      <c r="C239" s="23"/>
      <c r="D239" s="23"/>
      <c r="E239" s="23"/>
      <c r="F239" s="23"/>
      <c r="G239" s="24"/>
    </row>
    <row r="240" ht="15.75" customHeight="1"/>
    <row r="241" ht="22.5" customHeight="1">
      <c r="A241" s="3" t="s">
        <v>221</v>
      </c>
    </row>
    <row r="242" ht="15.75" customHeight="1">
      <c r="A242" s="5" t="s">
        <v>8</v>
      </c>
      <c r="B242" s="6"/>
      <c r="C242" s="6"/>
      <c r="D242" s="6"/>
      <c r="E242" s="6"/>
      <c r="F242" s="6"/>
      <c r="G242" s="7"/>
    </row>
    <row r="243" ht="30.0" customHeight="1">
      <c r="A243" s="8" t="s">
        <v>9</v>
      </c>
      <c r="B243" s="8" t="s">
        <v>10</v>
      </c>
      <c r="C243" s="8" t="s">
        <v>11</v>
      </c>
      <c r="D243" s="8" t="s">
        <v>12</v>
      </c>
      <c r="E243" s="8" t="s">
        <v>13</v>
      </c>
      <c r="F243" s="8" t="s">
        <v>14</v>
      </c>
      <c r="G243" s="8" t="s">
        <v>15</v>
      </c>
    </row>
    <row r="244" ht="15.75" customHeight="1">
      <c r="A244" s="10" t="s">
        <v>16</v>
      </c>
      <c r="B244" s="10" t="s">
        <v>19</v>
      </c>
      <c r="C244" s="11">
        <v>40.27</v>
      </c>
      <c r="D244" s="11">
        <v>87.78</v>
      </c>
      <c r="E244" s="11">
        <f t="shared" ref="E244:E247" si="52">IF(D244&gt;0,(C244/D244)/SUMPRODUCT($C$244:$C$247/$D$244:$D$247)*100,"")</f>
        <v>40.90042909</v>
      </c>
      <c r="F244" s="11">
        <f t="shared" ref="F244:F247" si="53">IF(E244&lt;&gt;"",E244*3,"")</f>
        <v>122.7012873</v>
      </c>
      <c r="G244" s="10" t="s">
        <v>21</v>
      </c>
    </row>
    <row r="245" ht="15.75" customHeight="1">
      <c r="A245" s="12" t="s">
        <v>16</v>
      </c>
      <c r="B245" s="12" t="s">
        <v>52</v>
      </c>
      <c r="C245" s="13">
        <v>38.47</v>
      </c>
      <c r="D245" s="13">
        <v>90.57</v>
      </c>
      <c r="E245" s="13">
        <f t="shared" si="52"/>
        <v>37.86863315</v>
      </c>
      <c r="F245" s="13">
        <f t="shared" si="53"/>
        <v>113.6058994</v>
      </c>
      <c r="G245" s="12" t="s">
        <v>21</v>
      </c>
    </row>
    <row r="246" ht="15.75" customHeight="1">
      <c r="A246" s="12" t="s">
        <v>22</v>
      </c>
      <c r="B246" s="12" t="s">
        <v>23</v>
      </c>
      <c r="C246" s="13">
        <v>19.6</v>
      </c>
      <c r="D246" s="13">
        <v>88.48</v>
      </c>
      <c r="E246" s="13">
        <f t="shared" si="52"/>
        <v>19.74934828</v>
      </c>
      <c r="F246" s="13">
        <f t="shared" si="53"/>
        <v>59.24804483</v>
      </c>
      <c r="G246" s="12" t="s">
        <v>21</v>
      </c>
    </row>
    <row r="247" ht="15.75" customHeight="1">
      <c r="A247" s="14" t="s">
        <v>24</v>
      </c>
      <c r="B247" s="14" t="s">
        <v>26</v>
      </c>
      <c r="C247" s="15">
        <v>1.66</v>
      </c>
      <c r="D247" s="15">
        <v>99.89</v>
      </c>
      <c r="E247" s="15">
        <f t="shared" si="52"/>
        <v>1.481589482</v>
      </c>
      <c r="F247" s="15">
        <f t="shared" si="53"/>
        <v>4.444768445</v>
      </c>
      <c r="G247" s="14" t="s">
        <v>21</v>
      </c>
    </row>
    <row r="248" ht="15.75" customHeight="1">
      <c r="A248" s="16" t="s">
        <v>27</v>
      </c>
      <c r="B248" s="17"/>
      <c r="C248" s="18">
        <f>SUM(C244:C247)</f>
        <v>100</v>
      </c>
      <c r="D248" s="18"/>
      <c r="E248" s="18">
        <f t="shared" ref="E248:F248" si="54">SUM(E244:E247)</f>
        <v>100</v>
      </c>
      <c r="F248" s="18">
        <f t="shared" si="54"/>
        <v>300</v>
      </c>
      <c r="G248" s="16"/>
    </row>
    <row r="249" ht="15.75" customHeight="1">
      <c r="A249" s="19" t="s">
        <v>33</v>
      </c>
      <c r="B249" s="20">
        <v>18.688117000000002</v>
      </c>
      <c r="C249" s="19" t="s">
        <v>35</v>
      </c>
      <c r="D249" s="20">
        <v>79.41218900000001</v>
      </c>
      <c r="E249" s="19" t="s">
        <v>36</v>
      </c>
      <c r="F249" s="20">
        <v>19.459716000000004</v>
      </c>
      <c r="G249" s="19"/>
    </row>
    <row r="250" ht="15.75" customHeight="1">
      <c r="A250" s="19" t="s">
        <v>37</v>
      </c>
      <c r="B250" s="20">
        <v>0.7467820000000001</v>
      </c>
      <c r="C250" s="19" t="s">
        <v>38</v>
      </c>
      <c r="D250" s="20">
        <v>0.347206</v>
      </c>
      <c r="E250" s="19" t="s">
        <v>39</v>
      </c>
      <c r="F250" s="20">
        <v>2.150832646901263</v>
      </c>
      <c r="G250" s="19"/>
    </row>
    <row r="251" ht="15.75" customHeight="1">
      <c r="A251" s="19" t="s">
        <v>40</v>
      </c>
      <c r="B251" s="20">
        <v>3.999797</v>
      </c>
      <c r="C251" s="19" t="s">
        <v>41</v>
      </c>
      <c r="D251" s="20">
        <v>0.0</v>
      </c>
      <c r="E251" s="19" t="s">
        <v>42</v>
      </c>
      <c r="F251" s="20">
        <v>2.0</v>
      </c>
      <c r="G251" s="19"/>
    </row>
    <row r="252" ht="15.75" customHeight="1">
      <c r="A252" s="21" t="s">
        <v>53</v>
      </c>
    </row>
    <row r="253" ht="30.0" customHeight="1">
      <c r="A253" s="22" t="s">
        <v>54</v>
      </c>
      <c r="B253" s="23"/>
      <c r="C253" s="23"/>
      <c r="D253" s="23"/>
      <c r="E253" s="23"/>
      <c r="F253" s="23"/>
      <c r="G253" s="24"/>
    </row>
    <row r="254" ht="15.75" customHeight="1"/>
    <row r="255" ht="22.5" customHeight="1">
      <c r="A255" s="3" t="s">
        <v>224</v>
      </c>
    </row>
    <row r="256" ht="15.75" customHeight="1">
      <c r="A256" s="5" t="s">
        <v>56</v>
      </c>
      <c r="B256" s="6"/>
      <c r="C256" s="6"/>
      <c r="D256" s="6"/>
      <c r="E256" s="6"/>
      <c r="F256" s="6"/>
      <c r="G256" s="7"/>
    </row>
    <row r="257" ht="30.0" customHeight="1">
      <c r="A257" s="8" t="s">
        <v>9</v>
      </c>
      <c r="B257" s="8" t="s">
        <v>10</v>
      </c>
      <c r="C257" s="8" t="s">
        <v>11</v>
      </c>
      <c r="D257" s="8" t="s">
        <v>12</v>
      </c>
      <c r="E257" s="8" t="s">
        <v>13</v>
      </c>
      <c r="F257" s="8" t="s">
        <v>14</v>
      </c>
      <c r="G257" s="8" t="s">
        <v>15</v>
      </c>
    </row>
    <row r="258" ht="15.75" customHeight="1">
      <c r="A258" s="10" t="s">
        <v>16</v>
      </c>
      <c r="B258" s="10" t="s">
        <v>17</v>
      </c>
      <c r="C258" s="11">
        <v>20.13</v>
      </c>
      <c r="D258" s="11">
        <v>88.05</v>
      </c>
      <c r="E258" s="11">
        <f t="shared" ref="E258:E261" si="55">IF(D258&gt;0,(C258/D258)/SUMPRODUCT($C$258:$C$261/$D$258:$D$261)*100,"")</f>
        <v>20.19301001</v>
      </c>
      <c r="F258" s="11">
        <f t="shared" ref="F258:F261" si="56">IF(E258&lt;&gt;"",E258*3,"")</f>
        <v>60.57903004</v>
      </c>
      <c r="G258" s="10" t="s">
        <v>21</v>
      </c>
    </row>
    <row r="259" ht="15.75" customHeight="1">
      <c r="A259" s="12" t="s">
        <v>16</v>
      </c>
      <c r="B259" s="12" t="s">
        <v>19</v>
      </c>
      <c r="C259" s="13">
        <v>42.68</v>
      </c>
      <c r="D259" s="13">
        <v>87.78</v>
      </c>
      <c r="E259" s="13">
        <f t="shared" si="55"/>
        <v>42.94528412</v>
      </c>
      <c r="F259" s="13">
        <f t="shared" si="56"/>
        <v>128.8358524</v>
      </c>
      <c r="G259" s="12" t="s">
        <v>21</v>
      </c>
    </row>
    <row r="260" ht="15.75" customHeight="1">
      <c r="A260" s="12" t="s">
        <v>22</v>
      </c>
      <c r="B260" s="12" t="s">
        <v>23</v>
      </c>
      <c r="C260" s="13">
        <v>34.88</v>
      </c>
      <c r="D260" s="13">
        <v>88.48</v>
      </c>
      <c r="E260" s="13">
        <f t="shared" si="55"/>
        <v>34.81913745</v>
      </c>
      <c r="F260" s="13">
        <f t="shared" si="56"/>
        <v>104.4574123</v>
      </c>
      <c r="G260" s="12" t="s">
        <v>21</v>
      </c>
    </row>
    <row r="261" ht="15.75" customHeight="1">
      <c r="A261" s="14" t="s">
        <v>24</v>
      </c>
      <c r="B261" s="14" t="s">
        <v>26</v>
      </c>
      <c r="C261" s="15">
        <v>2.31</v>
      </c>
      <c r="D261" s="15">
        <v>99.89</v>
      </c>
      <c r="E261" s="15">
        <f t="shared" si="55"/>
        <v>2.042568419</v>
      </c>
      <c r="F261" s="15">
        <f t="shared" si="56"/>
        <v>6.127705257</v>
      </c>
      <c r="G261" s="14" t="s">
        <v>21</v>
      </c>
    </row>
    <row r="262" ht="15.75" customHeight="1">
      <c r="A262" s="16" t="s">
        <v>27</v>
      </c>
      <c r="B262" s="17"/>
      <c r="C262" s="18">
        <f>SUM(C258:C261)</f>
        <v>100</v>
      </c>
      <c r="D262" s="18"/>
      <c r="E262" s="18">
        <f t="shared" ref="E262:F262" si="57">SUM(E258:E261)</f>
        <v>100</v>
      </c>
      <c r="F262" s="18">
        <f t="shared" si="57"/>
        <v>300</v>
      </c>
      <c r="G262" s="16"/>
    </row>
    <row r="263" ht="15.75" customHeight="1">
      <c r="A263" s="19" t="s">
        <v>33</v>
      </c>
      <c r="B263" s="20">
        <v>24.337623999999998</v>
      </c>
      <c r="C263" s="19" t="s">
        <v>35</v>
      </c>
      <c r="D263" s="20">
        <v>79.23898299999999</v>
      </c>
      <c r="E263" s="19" t="s">
        <v>36</v>
      </c>
      <c r="F263" s="20">
        <v>20.351855999999998</v>
      </c>
      <c r="G263" s="19"/>
    </row>
    <row r="264" ht="15.75" customHeight="1">
      <c r="A264" s="19" t="s">
        <v>37</v>
      </c>
      <c r="B264" s="20">
        <v>1.02894</v>
      </c>
      <c r="C264" s="19" t="s">
        <v>38</v>
      </c>
      <c r="D264" s="20">
        <v>0.49698199999999987</v>
      </c>
      <c r="E264" s="19" t="s">
        <v>39</v>
      </c>
      <c r="F264" s="20">
        <v>2.07037679433058</v>
      </c>
      <c r="G264" s="19"/>
    </row>
    <row r="265" ht="15.75" customHeight="1">
      <c r="A265" s="19" t="s">
        <v>40</v>
      </c>
      <c r="B265" s="20">
        <v>3.115077999999999</v>
      </c>
      <c r="C265" s="19" t="s">
        <v>41</v>
      </c>
      <c r="D265" s="20">
        <v>0.0</v>
      </c>
      <c r="E265" s="19" t="s">
        <v>42</v>
      </c>
      <c r="F265" s="20">
        <v>2.0</v>
      </c>
      <c r="G265" s="19"/>
    </row>
    <row r="266" ht="15.75" customHeight="1">
      <c r="A266" s="21" t="s">
        <v>67</v>
      </c>
    </row>
    <row r="267" ht="30.0" customHeight="1">
      <c r="A267" s="22" t="s">
        <v>68</v>
      </c>
      <c r="B267" s="23"/>
      <c r="C267" s="23"/>
      <c r="D267" s="23"/>
      <c r="E267" s="23"/>
      <c r="F267" s="23"/>
      <c r="G267" s="24"/>
    </row>
    <row r="268" ht="15.75" customHeight="1"/>
    <row r="269" ht="22.5" customHeight="1">
      <c r="A269" s="3" t="s">
        <v>228</v>
      </c>
    </row>
    <row r="270" ht="15.75" customHeight="1">
      <c r="A270" s="5" t="s">
        <v>56</v>
      </c>
      <c r="B270" s="6"/>
      <c r="C270" s="6"/>
      <c r="D270" s="6"/>
      <c r="E270" s="6"/>
      <c r="F270" s="6"/>
      <c r="G270" s="7"/>
    </row>
    <row r="271" ht="30.0" customHeight="1">
      <c r="A271" s="8" t="s">
        <v>9</v>
      </c>
      <c r="B271" s="8" t="s">
        <v>10</v>
      </c>
      <c r="C271" s="8" t="s">
        <v>11</v>
      </c>
      <c r="D271" s="8" t="s">
        <v>12</v>
      </c>
      <c r="E271" s="8" t="s">
        <v>13</v>
      </c>
      <c r="F271" s="8" t="s">
        <v>14</v>
      </c>
      <c r="G271" s="8" t="s">
        <v>15</v>
      </c>
    </row>
    <row r="272" ht="15.75" customHeight="1">
      <c r="A272" s="10" t="s">
        <v>16</v>
      </c>
      <c r="B272" s="10" t="s">
        <v>19</v>
      </c>
      <c r="C272" s="11">
        <v>34.36</v>
      </c>
      <c r="D272" s="11">
        <v>87.78</v>
      </c>
      <c r="E272" s="11">
        <f t="shared" ref="E272:E275" si="58">IF(D272&gt;0,(C272/D272)/SUMPRODUCT($C$272:$C$275/$D$272:$D$275)*100,"")</f>
        <v>34.85065104</v>
      </c>
      <c r="F272" s="11">
        <f t="shared" ref="F272:F275" si="59">IF(E272&lt;&gt;"",E272*3,"")</f>
        <v>104.5519531</v>
      </c>
      <c r="G272" s="10" t="s">
        <v>21</v>
      </c>
    </row>
    <row r="273" ht="15.75" customHeight="1">
      <c r="A273" s="12" t="s">
        <v>16</v>
      </c>
      <c r="B273" s="12" t="s">
        <v>52</v>
      </c>
      <c r="C273" s="13">
        <v>28.22</v>
      </c>
      <c r="D273" s="13">
        <v>90.57</v>
      </c>
      <c r="E273" s="13">
        <f t="shared" si="58"/>
        <v>27.74124568</v>
      </c>
      <c r="F273" s="13">
        <f t="shared" si="59"/>
        <v>83.22373704</v>
      </c>
      <c r="G273" s="12" t="s">
        <v>21</v>
      </c>
    </row>
    <row r="274" ht="15.75" customHeight="1">
      <c r="A274" s="12" t="s">
        <v>22</v>
      </c>
      <c r="B274" s="12" t="s">
        <v>23</v>
      </c>
      <c r="C274" s="13">
        <v>35.28</v>
      </c>
      <c r="D274" s="13">
        <v>88.48</v>
      </c>
      <c r="E274" s="13">
        <f t="shared" si="58"/>
        <v>35.50068879</v>
      </c>
      <c r="F274" s="13">
        <f t="shared" si="59"/>
        <v>106.5020664</v>
      </c>
      <c r="G274" s="12" t="s">
        <v>21</v>
      </c>
    </row>
    <row r="275" ht="15.75" customHeight="1">
      <c r="A275" s="14" t="s">
        <v>24</v>
      </c>
      <c r="B275" s="14" t="s">
        <v>26</v>
      </c>
      <c r="C275" s="15">
        <v>2.14</v>
      </c>
      <c r="D275" s="15">
        <v>99.89</v>
      </c>
      <c r="E275" s="15">
        <f t="shared" si="58"/>
        <v>1.907414488</v>
      </c>
      <c r="F275" s="15">
        <f t="shared" si="59"/>
        <v>5.722243465</v>
      </c>
      <c r="G275" s="14" t="s">
        <v>21</v>
      </c>
    </row>
    <row r="276" ht="15.75" customHeight="1">
      <c r="A276" s="16" t="s">
        <v>27</v>
      </c>
      <c r="B276" s="17"/>
      <c r="C276" s="18">
        <f>SUM(C272:C275)</f>
        <v>100</v>
      </c>
      <c r="D276" s="18"/>
      <c r="E276" s="18">
        <f t="shared" ref="E276:F276" si="60">SUM(E272:E275)</f>
        <v>100</v>
      </c>
      <c r="F276" s="18">
        <f t="shared" si="60"/>
        <v>300</v>
      </c>
      <c r="G276" s="16"/>
    </row>
    <row r="277" ht="15.75" customHeight="1">
      <c r="A277" s="19" t="s">
        <v>33</v>
      </c>
      <c r="B277" s="20">
        <v>24.33935</v>
      </c>
      <c r="C277" s="19" t="s">
        <v>35</v>
      </c>
      <c r="D277" s="20">
        <v>79.27418</v>
      </c>
      <c r="E277" s="19" t="s">
        <v>36</v>
      </c>
      <c r="F277" s="20">
        <v>18.181058</v>
      </c>
      <c r="G277" s="19"/>
    </row>
    <row r="278" ht="15.75" customHeight="1">
      <c r="A278" s="19" t="s">
        <v>37</v>
      </c>
      <c r="B278" s="20">
        <v>0.9627080000000003</v>
      </c>
      <c r="C278" s="19" t="s">
        <v>38</v>
      </c>
      <c r="D278" s="20">
        <v>0.38598000000000005</v>
      </c>
      <c r="E278" s="19" t="s">
        <v>39</v>
      </c>
      <c r="F278" s="20">
        <v>2.49419140888129</v>
      </c>
      <c r="G278" s="19"/>
    </row>
    <row r="279" ht="15.75" customHeight="1">
      <c r="A279" s="19" t="s">
        <v>40</v>
      </c>
      <c r="B279" s="20">
        <v>3.5013339999999995</v>
      </c>
      <c r="C279" s="19" t="s">
        <v>41</v>
      </c>
      <c r="D279" s="20">
        <v>0.0</v>
      </c>
      <c r="E279" s="19" t="s">
        <v>42</v>
      </c>
      <c r="F279" s="20">
        <v>2.0</v>
      </c>
      <c r="G279" s="19"/>
    </row>
    <row r="280" ht="15.75" customHeight="1">
      <c r="A280" s="21" t="s">
        <v>83</v>
      </c>
    </row>
    <row r="281" ht="30.0" customHeight="1">
      <c r="A281" s="22" t="s">
        <v>84</v>
      </c>
      <c r="B281" s="23"/>
      <c r="C281" s="23"/>
      <c r="D281" s="23"/>
      <c r="E281" s="23"/>
      <c r="F281" s="23"/>
      <c r="G281" s="24"/>
    </row>
    <row r="282" ht="15.75" customHeight="1"/>
    <row r="283" ht="22.5" customHeight="1">
      <c r="A283" s="3" t="s">
        <v>232</v>
      </c>
    </row>
    <row r="284" ht="15.75" customHeight="1">
      <c r="A284" s="5" t="s">
        <v>86</v>
      </c>
      <c r="B284" s="6"/>
      <c r="C284" s="6"/>
      <c r="D284" s="6"/>
      <c r="E284" s="6"/>
      <c r="F284" s="6"/>
      <c r="G284" s="7"/>
    </row>
    <row r="285" ht="30.0" customHeight="1">
      <c r="A285" s="8" t="s">
        <v>9</v>
      </c>
      <c r="B285" s="8" t="s">
        <v>10</v>
      </c>
      <c r="C285" s="8" t="s">
        <v>11</v>
      </c>
      <c r="D285" s="8" t="s">
        <v>12</v>
      </c>
      <c r="E285" s="8" t="s">
        <v>13</v>
      </c>
      <c r="F285" s="8" t="s">
        <v>14</v>
      </c>
      <c r="G285" s="8" t="s">
        <v>15</v>
      </c>
    </row>
    <row r="286" ht="15.75" customHeight="1">
      <c r="A286" s="10" t="s">
        <v>16</v>
      </c>
      <c r="B286" s="10" t="s">
        <v>17</v>
      </c>
      <c r="C286" s="11">
        <v>19.380000000000003</v>
      </c>
      <c r="D286" s="11">
        <v>88.05</v>
      </c>
      <c r="E286" s="11">
        <f t="shared" ref="E286:E289" si="61">IF(D286&gt;0,(C286/D286)/SUMPRODUCT($C$286:$C$289/$D$286:$D$289)*100,"")</f>
        <v>19.38648677</v>
      </c>
      <c r="F286" s="11">
        <f t="shared" ref="F286:F289" si="62">IF(E286&lt;&gt;"",E286*3,"")</f>
        <v>58.1594603</v>
      </c>
      <c r="G286" s="10" t="s">
        <v>21</v>
      </c>
    </row>
    <row r="287" ht="15.75" customHeight="1">
      <c r="A287" s="12" t="s">
        <v>16</v>
      </c>
      <c r="B287" s="12" t="s">
        <v>19</v>
      </c>
      <c r="C287" s="13">
        <v>73.66</v>
      </c>
      <c r="D287" s="13">
        <v>87.78</v>
      </c>
      <c r="E287" s="13">
        <f t="shared" si="61"/>
        <v>73.9112996</v>
      </c>
      <c r="F287" s="13">
        <f t="shared" si="62"/>
        <v>221.7338988</v>
      </c>
      <c r="G287" s="12" t="s">
        <v>21</v>
      </c>
    </row>
    <row r="288" ht="15.75" customHeight="1">
      <c r="A288" s="12" t="s">
        <v>22</v>
      </c>
      <c r="B288" s="12" t="s">
        <v>23</v>
      </c>
      <c r="C288" s="13">
        <v>4.97</v>
      </c>
      <c r="D288" s="13">
        <v>88.48</v>
      </c>
      <c r="E288" s="13">
        <f t="shared" si="61"/>
        <v>4.947501965</v>
      </c>
      <c r="F288" s="13">
        <f t="shared" si="62"/>
        <v>14.8425059</v>
      </c>
      <c r="G288" s="12" t="s">
        <v>21</v>
      </c>
    </row>
    <row r="289" ht="15.75" customHeight="1">
      <c r="A289" s="14" t="s">
        <v>24</v>
      </c>
      <c r="B289" s="14" t="s">
        <v>26</v>
      </c>
      <c r="C289" s="15">
        <v>1.9900000000000004</v>
      </c>
      <c r="D289" s="15">
        <v>99.89</v>
      </c>
      <c r="E289" s="15">
        <f t="shared" si="61"/>
        <v>1.754711668</v>
      </c>
      <c r="F289" s="15">
        <f t="shared" si="62"/>
        <v>5.264135004</v>
      </c>
      <c r="G289" s="14" t="s">
        <v>21</v>
      </c>
    </row>
    <row r="290" ht="15.75" customHeight="1">
      <c r="A290" s="16" t="s">
        <v>27</v>
      </c>
      <c r="B290" s="17"/>
      <c r="C290" s="18">
        <f>SUM(C286:C289)</f>
        <v>100</v>
      </c>
      <c r="D290" s="18"/>
      <c r="E290" s="18">
        <f t="shared" ref="E290:F290" si="63">SUM(E286:E289)</f>
        <v>100</v>
      </c>
      <c r="F290" s="18">
        <f t="shared" si="63"/>
        <v>300</v>
      </c>
      <c r="G290" s="16"/>
    </row>
    <row r="291" ht="15.75" customHeight="1">
      <c r="A291" s="19" t="s">
        <v>33</v>
      </c>
      <c r="B291" s="20">
        <v>12.444288</v>
      </c>
      <c r="C291" s="19" t="s">
        <v>35</v>
      </c>
      <c r="D291" s="20">
        <v>81.20960900000001</v>
      </c>
      <c r="E291" s="19" t="s">
        <v>36</v>
      </c>
      <c r="F291" s="20">
        <v>19.883011</v>
      </c>
      <c r="G291" s="19"/>
    </row>
    <row r="292" ht="15.75" customHeight="1">
      <c r="A292" s="19" t="s">
        <v>37</v>
      </c>
      <c r="B292" s="20">
        <v>0.8185860000000003</v>
      </c>
      <c r="C292" s="19" t="s">
        <v>38</v>
      </c>
      <c r="D292" s="20">
        <v>0.3967880000000001</v>
      </c>
      <c r="E292" s="19" t="s">
        <v>39</v>
      </c>
      <c r="F292" s="20">
        <v>2.063031140054639</v>
      </c>
      <c r="G292" s="19"/>
    </row>
    <row r="293" ht="15.75" customHeight="1">
      <c r="A293" s="19" t="s">
        <v>40</v>
      </c>
      <c r="B293" s="20">
        <v>3.859767</v>
      </c>
      <c r="C293" s="19" t="s">
        <v>41</v>
      </c>
      <c r="D293" s="20">
        <v>0.0</v>
      </c>
      <c r="E293" s="19" t="s">
        <v>42</v>
      </c>
      <c r="F293" s="20">
        <v>1.0</v>
      </c>
      <c r="G293" s="19"/>
    </row>
    <row r="294" ht="15.75" customHeight="1">
      <c r="A294" s="21" t="s">
        <v>115</v>
      </c>
    </row>
    <row r="295" ht="30.0" customHeight="1">
      <c r="A295" s="22" t="s">
        <v>116</v>
      </c>
      <c r="B295" s="23"/>
      <c r="C295" s="23"/>
      <c r="D295" s="23"/>
      <c r="E295" s="23"/>
      <c r="F295" s="23"/>
      <c r="G295" s="24"/>
    </row>
    <row r="296" ht="15.75" customHeight="1"/>
    <row r="297" ht="22.5" customHeight="1">
      <c r="A297" s="3" t="s">
        <v>236</v>
      </c>
    </row>
    <row r="298" ht="15.75" customHeight="1">
      <c r="A298" s="5" t="s">
        <v>86</v>
      </c>
      <c r="B298" s="6"/>
      <c r="C298" s="6"/>
      <c r="D298" s="6"/>
      <c r="E298" s="6"/>
      <c r="F298" s="6"/>
      <c r="G298" s="7"/>
    </row>
    <row r="299" ht="30.0" customHeight="1">
      <c r="A299" s="8" t="s">
        <v>9</v>
      </c>
      <c r="B299" s="8" t="s">
        <v>10</v>
      </c>
      <c r="C299" s="8" t="s">
        <v>11</v>
      </c>
      <c r="D299" s="8" t="s">
        <v>12</v>
      </c>
      <c r="E299" s="8" t="s">
        <v>13</v>
      </c>
      <c r="F299" s="8" t="s">
        <v>14</v>
      </c>
      <c r="G299" s="8" t="s">
        <v>15</v>
      </c>
    </row>
    <row r="300" ht="15.75" customHeight="1">
      <c r="A300" s="10" t="s">
        <v>16</v>
      </c>
      <c r="B300" s="10" t="s">
        <v>19</v>
      </c>
      <c r="C300" s="11">
        <v>47.95</v>
      </c>
      <c r="D300" s="11">
        <v>87.78</v>
      </c>
      <c r="E300" s="11">
        <f t="shared" ref="E300:E303" si="64">IF(D300&gt;0,(C300/D300)/SUMPRODUCT($C$300:$C$303/$D$300:$D$303)*100,"")</f>
        <v>48.76651205</v>
      </c>
      <c r="F300" s="11">
        <f t="shared" ref="F300:F303" si="65">IF(E300&lt;&gt;"",E300*3,"")</f>
        <v>146.2995362</v>
      </c>
      <c r="G300" s="10" t="s">
        <v>21</v>
      </c>
    </row>
    <row r="301" ht="15.75" customHeight="1">
      <c r="A301" s="12" t="s">
        <v>16</v>
      </c>
      <c r="B301" s="12" t="s">
        <v>52</v>
      </c>
      <c r="C301" s="13">
        <v>48.07</v>
      </c>
      <c r="D301" s="13">
        <v>90.57</v>
      </c>
      <c r="E301" s="13">
        <f t="shared" si="64"/>
        <v>47.38254829</v>
      </c>
      <c r="F301" s="13">
        <f t="shared" si="65"/>
        <v>142.1476449</v>
      </c>
      <c r="G301" s="12" t="s">
        <v>21</v>
      </c>
    </row>
    <row r="302" ht="15.75" customHeight="1">
      <c r="A302" s="12" t="s">
        <v>22</v>
      </c>
      <c r="B302" s="12" t="s">
        <v>23</v>
      </c>
      <c r="C302" s="13">
        <v>2.55</v>
      </c>
      <c r="D302" s="13">
        <v>88.48</v>
      </c>
      <c r="E302" s="13">
        <f t="shared" si="64"/>
        <v>2.572904852</v>
      </c>
      <c r="F302" s="13">
        <f t="shared" si="65"/>
        <v>7.718714555</v>
      </c>
      <c r="G302" s="12" t="s">
        <v>21</v>
      </c>
    </row>
    <row r="303" ht="15.75" customHeight="1">
      <c r="A303" s="14" t="s">
        <v>24</v>
      </c>
      <c r="B303" s="14" t="s">
        <v>26</v>
      </c>
      <c r="C303" s="15">
        <v>1.43</v>
      </c>
      <c r="D303" s="15">
        <v>99.89</v>
      </c>
      <c r="E303" s="15">
        <f t="shared" si="64"/>
        <v>1.278034813</v>
      </c>
      <c r="F303" s="15">
        <f t="shared" si="65"/>
        <v>3.834104438</v>
      </c>
      <c r="G303" s="14" t="s">
        <v>21</v>
      </c>
    </row>
    <row r="304" ht="15.75" customHeight="1">
      <c r="A304" s="16" t="s">
        <v>27</v>
      </c>
      <c r="B304" s="17"/>
      <c r="C304" s="18">
        <f>SUM(C300:C303)</f>
        <v>100</v>
      </c>
      <c r="D304" s="18"/>
      <c r="E304" s="18">
        <f t="shared" ref="E304:F304" si="66">SUM(E300:E303)</f>
        <v>100</v>
      </c>
      <c r="F304" s="18">
        <f t="shared" si="66"/>
        <v>300</v>
      </c>
      <c r="G304" s="16"/>
    </row>
    <row r="305" ht="15.75" customHeight="1">
      <c r="A305" s="19" t="s">
        <v>33</v>
      </c>
      <c r="B305" s="20">
        <v>12.437577</v>
      </c>
      <c r="C305" s="19" t="s">
        <v>35</v>
      </c>
      <c r="D305" s="20">
        <v>79.477868</v>
      </c>
      <c r="E305" s="19" t="s">
        <v>36</v>
      </c>
      <c r="F305" s="20">
        <v>20.602523</v>
      </c>
      <c r="G305" s="19"/>
    </row>
    <row r="306" ht="15.75" customHeight="1">
      <c r="A306" s="19" t="s">
        <v>37</v>
      </c>
      <c r="B306" s="20">
        <v>0.6193960000000001</v>
      </c>
      <c r="C306" s="19" t="s">
        <v>38</v>
      </c>
      <c r="D306" s="20">
        <v>0.30279799999999996</v>
      </c>
      <c r="E306" s="19" t="s">
        <v>39</v>
      </c>
      <c r="F306" s="20">
        <v>2.0455749377472774</v>
      </c>
      <c r="G306" s="19"/>
    </row>
    <row r="307" ht="15.75" customHeight="1">
      <c r="A307" s="19" t="s">
        <v>40</v>
      </c>
      <c r="B307" s="20">
        <v>4.514926</v>
      </c>
      <c r="C307" s="19" t="s">
        <v>41</v>
      </c>
      <c r="D307" s="20">
        <v>0.0</v>
      </c>
      <c r="E307" s="19" t="s">
        <v>42</v>
      </c>
      <c r="F307" s="20">
        <v>1.0</v>
      </c>
      <c r="G307" s="19"/>
    </row>
    <row r="308" ht="15.75" customHeight="1">
      <c r="A308" s="21" t="s">
        <v>119</v>
      </c>
    </row>
    <row r="309" ht="30.0" customHeight="1">
      <c r="A309" s="22" t="s">
        <v>120</v>
      </c>
      <c r="B309" s="23"/>
      <c r="C309" s="23"/>
      <c r="D309" s="23"/>
      <c r="E309" s="23"/>
      <c r="F309" s="23"/>
      <c r="G309" s="24"/>
    </row>
    <row r="310" ht="15.75" customHeight="1"/>
    <row r="311" ht="22.5" customHeight="1">
      <c r="A311" s="3" t="s">
        <v>246</v>
      </c>
    </row>
    <row r="312" ht="15.75" customHeight="1">
      <c r="A312" s="5" t="s">
        <v>124</v>
      </c>
      <c r="B312" s="6"/>
      <c r="C312" s="6"/>
      <c r="D312" s="6"/>
      <c r="E312" s="6"/>
      <c r="F312" s="6"/>
      <c r="G312" s="7"/>
    </row>
    <row r="313" ht="30.0" customHeight="1">
      <c r="A313" s="8" t="s">
        <v>9</v>
      </c>
      <c r="B313" s="8" t="s">
        <v>10</v>
      </c>
      <c r="C313" s="8" t="s">
        <v>11</v>
      </c>
      <c r="D313" s="8" t="s">
        <v>12</v>
      </c>
      <c r="E313" s="8" t="s">
        <v>13</v>
      </c>
      <c r="F313" s="8" t="s">
        <v>14</v>
      </c>
      <c r="G313" s="8" t="s">
        <v>15</v>
      </c>
    </row>
    <row r="314" ht="15.75" customHeight="1">
      <c r="A314" s="10" t="s">
        <v>16</v>
      </c>
      <c r="B314" s="10" t="s">
        <v>17</v>
      </c>
      <c r="C314" s="11">
        <v>27.04</v>
      </c>
      <c r="D314" s="11">
        <v>88.05</v>
      </c>
      <c r="E314" s="11">
        <f t="shared" ref="E314:E317" si="67">IF(D314&gt;0,(C314/D314)/SUMPRODUCT($C$314:$C$317/$D$314:$D$317)*100,"")</f>
        <v>27.06868384</v>
      </c>
      <c r="F314" s="11">
        <f t="shared" ref="F314:F317" si="68">IF(E314&lt;&gt;"",E314*3,"")</f>
        <v>81.20605152</v>
      </c>
      <c r="G314" s="10" t="s">
        <v>21</v>
      </c>
    </row>
    <row r="315" ht="15.75" customHeight="1">
      <c r="A315" s="12" t="s">
        <v>16</v>
      </c>
      <c r="B315" s="12" t="s">
        <v>19</v>
      </c>
      <c r="C315" s="13">
        <v>63.27</v>
      </c>
      <c r="D315" s="13">
        <v>87.78</v>
      </c>
      <c r="E315" s="13">
        <f t="shared" si="67"/>
        <v>63.5319332</v>
      </c>
      <c r="F315" s="13">
        <f t="shared" si="68"/>
        <v>190.5957996</v>
      </c>
      <c r="G315" s="12" t="s">
        <v>21</v>
      </c>
    </row>
    <row r="316" ht="15.75" customHeight="1">
      <c r="A316" s="12" t="s">
        <v>22</v>
      </c>
      <c r="B316" s="12" t="s">
        <v>23</v>
      </c>
      <c r="C316" s="13">
        <v>7.46</v>
      </c>
      <c r="D316" s="13">
        <v>88.48</v>
      </c>
      <c r="E316" s="13">
        <f t="shared" si="67"/>
        <v>7.431620536</v>
      </c>
      <c r="F316" s="13">
        <f t="shared" si="68"/>
        <v>22.29486161</v>
      </c>
      <c r="G316" s="12" t="s">
        <v>21</v>
      </c>
    </row>
    <row r="317" ht="15.75" customHeight="1">
      <c r="A317" s="14" t="s">
        <v>24</v>
      </c>
      <c r="B317" s="14" t="s">
        <v>26</v>
      </c>
      <c r="C317" s="15">
        <v>2.23</v>
      </c>
      <c r="D317" s="15">
        <v>99.89</v>
      </c>
      <c r="E317" s="15">
        <f t="shared" si="67"/>
        <v>1.967762422</v>
      </c>
      <c r="F317" s="15">
        <f t="shared" si="68"/>
        <v>5.903287265</v>
      </c>
      <c r="G317" s="14" t="s">
        <v>21</v>
      </c>
    </row>
    <row r="318" ht="15.75" customHeight="1">
      <c r="A318" s="16" t="s">
        <v>27</v>
      </c>
      <c r="B318" s="17"/>
      <c r="C318" s="18">
        <f>SUM(C314:C317)</f>
        <v>100</v>
      </c>
      <c r="D318" s="18"/>
      <c r="E318" s="18">
        <f t="shared" ref="E318:F318" si="69">SUM(E314:E317)</f>
        <v>100</v>
      </c>
      <c r="F318" s="18">
        <f t="shared" si="69"/>
        <v>300</v>
      </c>
      <c r="G318" s="16"/>
    </row>
    <row r="319" ht="15.75" customHeight="1">
      <c r="A319" s="19" t="s">
        <v>33</v>
      </c>
      <c r="B319" s="20">
        <v>14.024314000000002</v>
      </c>
      <c r="C319" s="19" t="s">
        <v>35</v>
      </c>
      <c r="D319" s="20">
        <v>79.74667900000001</v>
      </c>
      <c r="E319" s="19" t="s">
        <v>36</v>
      </c>
      <c r="F319" s="20">
        <v>22.137939</v>
      </c>
      <c r="G319" s="19"/>
    </row>
    <row r="320" ht="15.75" customHeight="1">
      <c r="A320" s="19" t="s">
        <v>37</v>
      </c>
      <c r="B320" s="20">
        <v>0.9278799999999998</v>
      </c>
      <c r="C320" s="19" t="s">
        <v>38</v>
      </c>
      <c r="D320" s="20">
        <v>0.4578</v>
      </c>
      <c r="E320" s="19" t="s">
        <v>39</v>
      </c>
      <c r="F320" s="20">
        <v>2.026823940585408</v>
      </c>
      <c r="G320" s="19"/>
    </row>
    <row r="321" ht="15.75" customHeight="1">
      <c r="A321" s="19" t="s">
        <v>40</v>
      </c>
      <c r="B321" s="20">
        <v>3.7432679999999996</v>
      </c>
      <c r="C321" s="19" t="s">
        <v>41</v>
      </c>
      <c r="D321" s="20">
        <v>0.0</v>
      </c>
      <c r="E321" s="19" t="s">
        <v>42</v>
      </c>
      <c r="F321" s="20">
        <v>1.0</v>
      </c>
      <c r="G321" s="19"/>
    </row>
    <row r="322" ht="15.75" customHeight="1">
      <c r="A322" s="21" t="s">
        <v>128</v>
      </c>
    </row>
    <row r="323" ht="30.0" customHeight="1">
      <c r="A323" s="22" t="s">
        <v>129</v>
      </c>
      <c r="B323" s="23"/>
      <c r="C323" s="23"/>
      <c r="D323" s="23"/>
      <c r="E323" s="23"/>
      <c r="F323" s="23"/>
      <c r="G323" s="24"/>
    </row>
    <row r="324" ht="15.75" customHeight="1"/>
    <row r="325" ht="22.5" customHeight="1">
      <c r="A325" s="3" t="s">
        <v>263</v>
      </c>
    </row>
    <row r="326" ht="15.75" customHeight="1">
      <c r="A326" s="5" t="s">
        <v>124</v>
      </c>
      <c r="B326" s="6"/>
      <c r="C326" s="6"/>
      <c r="D326" s="6"/>
      <c r="E326" s="6"/>
      <c r="F326" s="6"/>
      <c r="G326" s="7"/>
    </row>
    <row r="327" ht="30.0" customHeight="1">
      <c r="A327" s="8" t="s">
        <v>9</v>
      </c>
      <c r="B327" s="8" t="s">
        <v>10</v>
      </c>
      <c r="C327" s="8" t="s">
        <v>11</v>
      </c>
      <c r="D327" s="8" t="s">
        <v>12</v>
      </c>
      <c r="E327" s="8" t="s">
        <v>13</v>
      </c>
      <c r="F327" s="8" t="s">
        <v>14</v>
      </c>
      <c r="G327" s="8" t="s">
        <v>15</v>
      </c>
    </row>
    <row r="328" ht="15.75" customHeight="1">
      <c r="A328" s="10" t="s">
        <v>16</v>
      </c>
      <c r="B328" s="10" t="s">
        <v>19</v>
      </c>
      <c r="C328" s="11">
        <v>49.2</v>
      </c>
      <c r="D328" s="11">
        <v>87.78</v>
      </c>
      <c r="E328" s="11">
        <f t="shared" ref="E328:E331" si="70">IF(D328&gt;0,(C328/D328)/SUMPRODUCT($C$328:$C$331/$D$328:$D$331)*100,"")</f>
        <v>49.96938673</v>
      </c>
      <c r="F328" s="11">
        <f t="shared" ref="F328:F331" si="71">IF(E328&lt;&gt;"",E328*3,"")</f>
        <v>149.9081602</v>
      </c>
      <c r="G328" s="10" t="s">
        <v>21</v>
      </c>
    </row>
    <row r="329" ht="15.75" customHeight="1">
      <c r="A329" s="12" t="s">
        <v>16</v>
      </c>
      <c r="B329" s="12" t="s">
        <v>52</v>
      </c>
      <c r="C329" s="13">
        <v>41.83</v>
      </c>
      <c r="D329" s="13">
        <v>90.57</v>
      </c>
      <c r="E329" s="13">
        <f t="shared" si="70"/>
        <v>41.17541547</v>
      </c>
      <c r="F329" s="13">
        <f t="shared" si="71"/>
        <v>123.5262464</v>
      </c>
      <c r="G329" s="12" t="s">
        <v>21</v>
      </c>
    </row>
    <row r="330" ht="15.75" customHeight="1">
      <c r="A330" s="12" t="s">
        <v>22</v>
      </c>
      <c r="B330" s="12" t="s">
        <v>23</v>
      </c>
      <c r="C330" s="13">
        <v>7.380000000000001</v>
      </c>
      <c r="D330" s="13">
        <v>88.48</v>
      </c>
      <c r="E330" s="13">
        <f t="shared" si="70"/>
        <v>7.436108896</v>
      </c>
      <c r="F330" s="13">
        <f t="shared" si="71"/>
        <v>22.30832669</v>
      </c>
      <c r="G330" s="12" t="s">
        <v>21</v>
      </c>
    </row>
    <row r="331" ht="15.75" customHeight="1">
      <c r="A331" s="14" t="s">
        <v>24</v>
      </c>
      <c r="B331" s="14" t="s">
        <v>26</v>
      </c>
      <c r="C331" s="15">
        <v>1.59</v>
      </c>
      <c r="D331" s="15">
        <v>99.89</v>
      </c>
      <c r="E331" s="15">
        <f t="shared" si="70"/>
        <v>1.419088904</v>
      </c>
      <c r="F331" s="15">
        <f t="shared" si="71"/>
        <v>4.257266713</v>
      </c>
      <c r="G331" s="14" t="s">
        <v>21</v>
      </c>
    </row>
    <row r="332" ht="15.75" customHeight="1">
      <c r="A332" s="16" t="s">
        <v>27</v>
      </c>
      <c r="B332" s="17"/>
      <c r="C332" s="18">
        <f>SUM(C328:C331)</f>
        <v>100</v>
      </c>
      <c r="D332" s="18"/>
      <c r="E332" s="18">
        <f t="shared" ref="E332:F332" si="72">SUM(E328:E331)</f>
        <v>100</v>
      </c>
      <c r="F332" s="18">
        <f t="shared" si="72"/>
        <v>300</v>
      </c>
      <c r="G332" s="16"/>
    </row>
    <row r="333" ht="15.75" customHeight="1">
      <c r="A333" s="19" t="s">
        <v>33</v>
      </c>
      <c r="B333" s="20">
        <v>14.019730999999998</v>
      </c>
      <c r="C333" s="19" t="s">
        <v>35</v>
      </c>
      <c r="D333" s="20">
        <v>79.75752600000001</v>
      </c>
      <c r="E333" s="19" t="s">
        <v>36</v>
      </c>
      <c r="F333" s="20">
        <v>19.796913000000004</v>
      </c>
      <c r="G333" s="19"/>
    </row>
    <row r="334" ht="15.75" customHeight="1">
      <c r="A334" s="19" t="s">
        <v>37</v>
      </c>
      <c r="B334" s="20">
        <v>0.687358</v>
      </c>
      <c r="C334" s="19" t="s">
        <v>38</v>
      </c>
      <c r="D334" s="20">
        <v>0.31163</v>
      </c>
      <c r="E334" s="19" t="s">
        <v>39</v>
      </c>
      <c r="F334" s="20">
        <v>2.2056862304656164</v>
      </c>
      <c r="G334" s="19"/>
    </row>
    <row r="335" ht="15.75" customHeight="1">
      <c r="A335" s="19" t="s">
        <v>40</v>
      </c>
      <c r="B335" s="20">
        <v>4.331588999999999</v>
      </c>
      <c r="C335" s="19" t="s">
        <v>41</v>
      </c>
      <c r="D335" s="20">
        <v>0.0</v>
      </c>
      <c r="E335" s="19" t="s">
        <v>42</v>
      </c>
      <c r="F335" s="20">
        <v>1.0</v>
      </c>
      <c r="G335" s="19"/>
    </row>
    <row r="336" ht="15.75" customHeight="1">
      <c r="A336" s="21" t="s">
        <v>133</v>
      </c>
    </row>
    <row r="337" ht="30.0" customHeight="1">
      <c r="A337" s="22" t="s">
        <v>134</v>
      </c>
      <c r="B337" s="23"/>
      <c r="C337" s="23"/>
      <c r="D337" s="23"/>
      <c r="E337" s="23"/>
      <c r="F337" s="23"/>
      <c r="G337" s="24"/>
    </row>
    <row r="338" ht="15.75" customHeight="1"/>
    <row r="339" ht="22.5" customHeight="1">
      <c r="A339" s="3" t="s">
        <v>268</v>
      </c>
    </row>
    <row r="340" ht="15.75" customHeight="1">
      <c r="A340" s="5" t="s">
        <v>269</v>
      </c>
      <c r="B340" s="6"/>
      <c r="C340" s="6"/>
      <c r="D340" s="6"/>
      <c r="E340" s="6"/>
      <c r="F340" s="6"/>
      <c r="G340" s="7"/>
    </row>
    <row r="341" ht="30.0" customHeight="1">
      <c r="A341" s="8" t="s">
        <v>9</v>
      </c>
      <c r="B341" s="8" t="s">
        <v>10</v>
      </c>
      <c r="C341" s="8" t="s">
        <v>11</v>
      </c>
      <c r="D341" s="8" t="s">
        <v>12</v>
      </c>
      <c r="E341" s="8" t="s">
        <v>13</v>
      </c>
      <c r="F341" s="8" t="s">
        <v>14</v>
      </c>
      <c r="G341" s="8" t="s">
        <v>15</v>
      </c>
    </row>
    <row r="342" ht="15.75" customHeight="1">
      <c r="A342" s="10" t="s">
        <v>16</v>
      </c>
      <c r="B342" s="10" t="s">
        <v>19</v>
      </c>
      <c r="C342" s="11">
        <v>71.88</v>
      </c>
      <c r="D342" s="11">
        <v>87.78</v>
      </c>
      <c r="E342" s="11">
        <f t="shared" ref="E342:E349" si="73">IF(D342&gt;0,(C342/D342)/SUMPRODUCT($C$342:$C$349/$D$342:$D$349)*100,"")</f>
        <v>72.20732986</v>
      </c>
      <c r="F342" s="11">
        <f t="shared" ref="F342:F349" si="74">IF(E342&lt;&gt;"",E342*3,"")</f>
        <v>216.6219896</v>
      </c>
      <c r="G342" s="10" t="s">
        <v>21</v>
      </c>
    </row>
    <row r="343" ht="15.75" customHeight="1">
      <c r="A343" s="12" t="s">
        <v>16</v>
      </c>
      <c r="B343" s="12" t="s">
        <v>52</v>
      </c>
      <c r="C343" s="13">
        <v>10.5</v>
      </c>
      <c r="D343" s="13">
        <v>90.57</v>
      </c>
      <c r="E343" s="13">
        <f t="shared" si="73"/>
        <v>10.22289088</v>
      </c>
      <c r="F343" s="13">
        <f t="shared" si="74"/>
        <v>30.66867263</v>
      </c>
      <c r="G343" s="12" t="s">
        <v>21</v>
      </c>
    </row>
    <row r="344" ht="15.75" customHeight="1">
      <c r="A344" s="12" t="s">
        <v>16</v>
      </c>
      <c r="B344" s="12" t="s">
        <v>271</v>
      </c>
      <c r="C344" s="13">
        <v>3.1300000000000003</v>
      </c>
      <c r="D344" s="13">
        <v>88.26</v>
      </c>
      <c r="E344" s="13">
        <f t="shared" si="73"/>
        <v>3.127153561</v>
      </c>
      <c r="F344" s="13">
        <f t="shared" si="74"/>
        <v>9.381460683</v>
      </c>
      <c r="G344" s="12" t="s">
        <v>21</v>
      </c>
    </row>
    <row r="345" ht="15.75" customHeight="1">
      <c r="A345" s="12" t="s">
        <v>16</v>
      </c>
      <c r="B345" s="12" t="s">
        <v>272</v>
      </c>
      <c r="C345" s="13">
        <v>5.51</v>
      </c>
      <c r="D345" s="13">
        <v>83.98</v>
      </c>
      <c r="E345" s="13">
        <f t="shared" si="73"/>
        <v>5.785548282</v>
      </c>
      <c r="F345" s="13">
        <f t="shared" si="74"/>
        <v>17.35664485</v>
      </c>
      <c r="G345" s="12" t="s">
        <v>21</v>
      </c>
    </row>
    <row r="346" ht="15.75" customHeight="1">
      <c r="A346" s="12" t="s">
        <v>22</v>
      </c>
      <c r="B346" s="12" t="s">
        <v>23</v>
      </c>
      <c r="C346" s="13">
        <v>6.309999999999999</v>
      </c>
      <c r="D346" s="13">
        <v>88.48</v>
      </c>
      <c r="E346" s="13">
        <f t="shared" si="73"/>
        <v>6.288586499</v>
      </c>
      <c r="F346" s="13">
        <f t="shared" si="74"/>
        <v>18.8657595</v>
      </c>
      <c r="G346" s="12" t="s">
        <v>21</v>
      </c>
    </row>
    <row r="347" ht="15.75" customHeight="1">
      <c r="A347" s="12" t="s">
        <v>24</v>
      </c>
      <c r="B347" s="12" t="s">
        <v>26</v>
      </c>
      <c r="C347" s="13">
        <v>1.17</v>
      </c>
      <c r="D347" s="13">
        <v>99.89</v>
      </c>
      <c r="E347" s="13">
        <f t="shared" si="73"/>
        <v>1.032839033</v>
      </c>
      <c r="F347" s="13">
        <f t="shared" si="74"/>
        <v>3.098517098</v>
      </c>
      <c r="G347" s="12" t="s">
        <v>21</v>
      </c>
    </row>
    <row r="348" ht="15.75" customHeight="1">
      <c r="A348" s="12" t="s">
        <v>164</v>
      </c>
      <c r="B348" s="12" t="s">
        <v>165</v>
      </c>
      <c r="C348" s="13">
        <v>1.0</v>
      </c>
      <c r="D348" s="13">
        <v>99.02</v>
      </c>
      <c r="E348" s="13">
        <f t="shared" si="73"/>
        <v>0.8905244989</v>
      </c>
      <c r="F348" s="13">
        <f t="shared" si="74"/>
        <v>2.671573497</v>
      </c>
      <c r="G348" s="12" t="s">
        <v>21</v>
      </c>
    </row>
    <row r="349" ht="15.75" customHeight="1">
      <c r="A349" s="14" t="s">
        <v>164</v>
      </c>
      <c r="B349" s="14" t="s">
        <v>274</v>
      </c>
      <c r="C349" s="15">
        <v>0.5</v>
      </c>
      <c r="D349" s="15">
        <v>99.05</v>
      </c>
      <c r="E349" s="15">
        <f t="shared" si="73"/>
        <v>0.4451273896</v>
      </c>
      <c r="F349" s="15">
        <f t="shared" si="74"/>
        <v>1.335382169</v>
      </c>
      <c r="G349" s="14" t="s">
        <v>21</v>
      </c>
    </row>
    <row r="350" ht="15.75" customHeight="1">
      <c r="A350" s="16" t="s">
        <v>27</v>
      </c>
      <c r="B350" s="17"/>
      <c r="C350" s="18">
        <f>SUM(C342:C349)</f>
        <v>100</v>
      </c>
      <c r="D350" s="18"/>
      <c r="E350" s="18">
        <f t="shared" ref="E350:F350" si="75">SUM(E342:E349)</f>
        <v>100</v>
      </c>
      <c r="F350" s="18">
        <f t="shared" si="75"/>
        <v>300</v>
      </c>
      <c r="G350" s="16"/>
    </row>
    <row r="351" ht="15.75" customHeight="1">
      <c r="A351" s="19" t="s">
        <v>33</v>
      </c>
      <c r="B351" s="20">
        <v>11.595325999999998</v>
      </c>
      <c r="C351" s="19" t="s">
        <v>35</v>
      </c>
      <c r="D351" s="20">
        <v>81.142292</v>
      </c>
      <c r="E351" s="19" t="s">
        <v>36</v>
      </c>
      <c r="F351" s="20">
        <v>15.093633</v>
      </c>
      <c r="G351" s="19"/>
    </row>
    <row r="352" ht="15.75" customHeight="1">
      <c r="A352" s="19" t="s">
        <v>37</v>
      </c>
      <c r="B352" s="20">
        <v>0.5879539999999999</v>
      </c>
      <c r="C352" s="19" t="s">
        <v>38</v>
      </c>
      <c r="D352" s="20">
        <v>0.26791</v>
      </c>
      <c r="E352" s="19" t="s">
        <v>39</v>
      </c>
      <c r="F352" s="20">
        <v>2.1945951998805566</v>
      </c>
      <c r="G352" s="19"/>
    </row>
    <row r="353" ht="15.75" customHeight="1">
      <c r="A353" s="19" t="s">
        <v>40</v>
      </c>
      <c r="B353" s="20">
        <v>3.821242999999999</v>
      </c>
      <c r="C353" s="19" t="s">
        <v>41</v>
      </c>
      <c r="D353" s="20">
        <v>0.0</v>
      </c>
      <c r="E353" s="19" t="s">
        <v>42</v>
      </c>
      <c r="F353" s="20">
        <v>2.0</v>
      </c>
      <c r="G353" s="19"/>
    </row>
    <row r="354" ht="15.75" customHeight="1">
      <c r="A354" s="21" t="s">
        <v>281</v>
      </c>
    </row>
    <row r="355" ht="30.0" customHeight="1">
      <c r="A355" s="22" t="s">
        <v>282</v>
      </c>
      <c r="B355" s="23"/>
      <c r="C355" s="23"/>
      <c r="D355" s="23"/>
      <c r="E355" s="23"/>
      <c r="F355" s="23"/>
      <c r="G355" s="24"/>
    </row>
    <row r="356" ht="15.75" customHeight="1"/>
    <row r="357" ht="22.5" customHeight="1">
      <c r="A357" s="3" t="s">
        <v>284</v>
      </c>
    </row>
    <row r="358" ht="15.75" customHeight="1">
      <c r="A358" s="5" t="s">
        <v>286</v>
      </c>
      <c r="B358" s="6"/>
      <c r="C358" s="6"/>
      <c r="D358" s="6"/>
      <c r="E358" s="6"/>
      <c r="F358" s="6"/>
      <c r="G358" s="7"/>
    </row>
    <row r="359" ht="30.0" customHeight="1">
      <c r="A359" s="8" t="s">
        <v>9</v>
      </c>
      <c r="B359" s="8" t="s">
        <v>10</v>
      </c>
      <c r="C359" s="8" t="s">
        <v>11</v>
      </c>
      <c r="D359" s="8" t="s">
        <v>12</v>
      </c>
      <c r="E359" s="8" t="s">
        <v>13</v>
      </c>
      <c r="F359" s="8" t="s">
        <v>14</v>
      </c>
      <c r="G359" s="8" t="s">
        <v>15</v>
      </c>
    </row>
    <row r="360" ht="15.75" customHeight="1">
      <c r="A360" s="10" t="s">
        <v>16</v>
      </c>
      <c r="B360" s="10" t="s">
        <v>19</v>
      </c>
      <c r="C360" s="11">
        <v>63.56</v>
      </c>
      <c r="D360" s="11">
        <v>87.78</v>
      </c>
      <c r="E360" s="11">
        <f t="shared" ref="E360:E367" si="76">IF(D360&gt;0,(C360/D360)/SUMPRODUCT($C$360:$C$367/$D$360:$D$367)*100,"")</f>
        <v>64.07234756</v>
      </c>
      <c r="F360" s="11">
        <f t="shared" ref="F360:F367" si="77">IF(E360&lt;&gt;"",E360*3,"")</f>
        <v>192.2170427</v>
      </c>
      <c r="G360" s="10" t="s">
        <v>21</v>
      </c>
    </row>
    <row r="361" ht="15.75" customHeight="1">
      <c r="A361" s="12" t="s">
        <v>16</v>
      </c>
      <c r="B361" s="12" t="s">
        <v>52</v>
      </c>
      <c r="C361" s="13">
        <v>20.81</v>
      </c>
      <c r="D361" s="13">
        <v>90.57</v>
      </c>
      <c r="E361" s="13">
        <f t="shared" si="76"/>
        <v>20.33152884</v>
      </c>
      <c r="F361" s="13">
        <f t="shared" si="77"/>
        <v>60.99458653</v>
      </c>
      <c r="G361" s="12" t="s">
        <v>21</v>
      </c>
    </row>
    <row r="362" ht="15.75" customHeight="1">
      <c r="A362" s="12" t="s">
        <v>16</v>
      </c>
      <c r="B362" s="12" t="s">
        <v>271</v>
      </c>
      <c r="C362" s="13">
        <v>3.32</v>
      </c>
      <c r="D362" s="13">
        <v>88.26</v>
      </c>
      <c r="E362" s="13">
        <f t="shared" si="76"/>
        <v>3.32856073</v>
      </c>
      <c r="F362" s="13">
        <f t="shared" si="77"/>
        <v>9.985682189</v>
      </c>
      <c r="G362" s="12" t="s">
        <v>21</v>
      </c>
    </row>
    <row r="363" ht="15.75" customHeight="1">
      <c r="A363" s="12" t="s">
        <v>16</v>
      </c>
      <c r="B363" s="12" t="s">
        <v>272</v>
      </c>
      <c r="C363" s="13">
        <v>4.75</v>
      </c>
      <c r="D363" s="13">
        <v>83.98</v>
      </c>
      <c r="E363" s="13">
        <f t="shared" si="76"/>
        <v>5.004953695</v>
      </c>
      <c r="F363" s="13">
        <f t="shared" si="77"/>
        <v>15.01486108</v>
      </c>
      <c r="G363" s="12" t="s">
        <v>21</v>
      </c>
    </row>
    <row r="364" ht="15.75" customHeight="1">
      <c r="A364" s="12" t="s">
        <v>22</v>
      </c>
      <c r="B364" s="12" t="s">
        <v>23</v>
      </c>
      <c r="C364" s="13">
        <v>4.85</v>
      </c>
      <c r="D364" s="13">
        <v>88.48</v>
      </c>
      <c r="E364" s="13">
        <f t="shared" si="76"/>
        <v>4.850415568</v>
      </c>
      <c r="F364" s="13">
        <f t="shared" si="77"/>
        <v>14.5512467</v>
      </c>
      <c r="G364" s="12" t="s">
        <v>21</v>
      </c>
    </row>
    <row r="365" ht="15.75" customHeight="1">
      <c r="A365" s="12" t="s">
        <v>24</v>
      </c>
      <c r="B365" s="12" t="s">
        <v>26</v>
      </c>
      <c r="C365" s="13">
        <v>1.21</v>
      </c>
      <c r="D365" s="13">
        <v>99.89</v>
      </c>
      <c r="E365" s="13">
        <f t="shared" si="76"/>
        <v>1.071878801</v>
      </c>
      <c r="F365" s="13">
        <f t="shared" si="77"/>
        <v>3.215636402</v>
      </c>
      <c r="G365" s="12" t="s">
        <v>21</v>
      </c>
    </row>
    <row r="366" ht="15.75" customHeight="1">
      <c r="A366" s="12" t="s">
        <v>164</v>
      </c>
      <c r="B366" s="12" t="s">
        <v>165</v>
      </c>
      <c r="C366" s="13">
        <v>1.0</v>
      </c>
      <c r="D366" s="13">
        <v>99.02</v>
      </c>
      <c r="E366" s="13">
        <f t="shared" si="76"/>
        <v>0.8936334208</v>
      </c>
      <c r="F366" s="13">
        <f t="shared" si="77"/>
        <v>2.680900262</v>
      </c>
      <c r="G366" s="12" t="s">
        <v>21</v>
      </c>
    </row>
    <row r="367" ht="15.75" customHeight="1">
      <c r="A367" s="14" t="s">
        <v>164</v>
      </c>
      <c r="B367" s="14" t="s">
        <v>274</v>
      </c>
      <c r="C367" s="15">
        <v>0.5</v>
      </c>
      <c r="D367" s="15">
        <v>99.05</v>
      </c>
      <c r="E367" s="15">
        <f t="shared" si="76"/>
        <v>0.4466813797</v>
      </c>
      <c r="F367" s="15">
        <f t="shared" si="77"/>
        <v>1.340044139</v>
      </c>
      <c r="G367" s="14" t="s">
        <v>21</v>
      </c>
    </row>
    <row r="368" ht="15.75" customHeight="1">
      <c r="A368" s="16" t="s">
        <v>27</v>
      </c>
      <c r="B368" s="17"/>
      <c r="C368" s="18">
        <f>SUM(C360:C367)</f>
        <v>100</v>
      </c>
      <c r="D368" s="18"/>
      <c r="E368" s="18">
        <f t="shared" ref="E368:F368" si="78">SUM(E360:E367)</f>
        <v>100</v>
      </c>
      <c r="F368" s="18">
        <f t="shared" si="78"/>
        <v>300</v>
      </c>
      <c r="G368" s="16"/>
    </row>
    <row r="369" ht="15.75" customHeight="1">
      <c r="A369" s="19" t="s">
        <v>33</v>
      </c>
      <c r="B369" s="20">
        <v>11.584710999999999</v>
      </c>
      <c r="C369" s="19" t="s">
        <v>35</v>
      </c>
      <c r="D369" s="20">
        <v>80.182802</v>
      </c>
      <c r="E369" s="19" t="s">
        <v>36</v>
      </c>
      <c r="F369" s="20">
        <v>16.513807</v>
      </c>
      <c r="G369" s="19"/>
    </row>
    <row r="370" ht="15.75" customHeight="1">
      <c r="A370" s="19" t="s">
        <v>37</v>
      </c>
      <c r="B370" s="20">
        <v>0.5961390000000001</v>
      </c>
      <c r="C370" s="19" t="s">
        <v>38</v>
      </c>
      <c r="D370" s="20">
        <v>0.27449700000000005</v>
      </c>
      <c r="E370" s="19" t="s">
        <v>39</v>
      </c>
      <c r="F370" s="20">
        <v>2.1717505109345456</v>
      </c>
      <c r="G370" s="19"/>
    </row>
    <row r="371" ht="15.75" customHeight="1">
      <c r="A371" s="19" t="s">
        <v>40</v>
      </c>
      <c r="B371" s="20">
        <v>3.9721080000000004</v>
      </c>
      <c r="C371" s="19" t="s">
        <v>41</v>
      </c>
      <c r="D371" s="20">
        <v>0.0</v>
      </c>
      <c r="E371" s="19" t="s">
        <v>42</v>
      </c>
      <c r="F371" s="20">
        <v>2.0</v>
      </c>
      <c r="G371" s="19"/>
    </row>
    <row r="372" ht="15.75" customHeight="1">
      <c r="A372" s="21" t="s">
        <v>301</v>
      </c>
    </row>
    <row r="373" ht="30.0" customHeight="1">
      <c r="A373" s="22" t="s">
        <v>302</v>
      </c>
      <c r="B373" s="23"/>
      <c r="C373" s="23"/>
      <c r="D373" s="23"/>
      <c r="E373" s="23"/>
      <c r="F373" s="23"/>
      <c r="G373" s="24"/>
    </row>
    <row r="374" ht="15.75" customHeight="1"/>
    <row r="375" ht="22.5" customHeight="1">
      <c r="A375" s="3" t="s">
        <v>303</v>
      </c>
    </row>
    <row r="376" ht="15.75" customHeight="1">
      <c r="A376" s="5" t="s">
        <v>304</v>
      </c>
      <c r="B376" s="6"/>
      <c r="C376" s="6"/>
      <c r="D376" s="6"/>
      <c r="E376" s="6"/>
      <c r="F376" s="6"/>
      <c r="G376" s="7"/>
    </row>
    <row r="377" ht="30.0" customHeight="1">
      <c r="A377" s="8" t="s">
        <v>9</v>
      </c>
      <c r="B377" s="8" t="s">
        <v>10</v>
      </c>
      <c r="C377" s="8" t="s">
        <v>11</v>
      </c>
      <c r="D377" s="8" t="s">
        <v>12</v>
      </c>
      <c r="E377" s="8" t="s">
        <v>13</v>
      </c>
      <c r="F377" s="8" t="s">
        <v>14</v>
      </c>
      <c r="G377" s="8" t="s">
        <v>15</v>
      </c>
    </row>
    <row r="378" ht="15.75" customHeight="1">
      <c r="A378" s="10" t="s">
        <v>16</v>
      </c>
      <c r="B378" s="10" t="s">
        <v>19</v>
      </c>
      <c r="C378" s="11">
        <v>50.078069205265784</v>
      </c>
      <c r="D378" s="11">
        <v>87.78</v>
      </c>
      <c r="E378" s="11">
        <f t="shared" ref="E378:E385" si="79">IF(D378&gt;0,(C378/D378)/SUMPRODUCT($C$378:$C$385/$D$378:$D$385)*100,"")</f>
        <v>49.86391527</v>
      </c>
      <c r="F378" s="11">
        <f t="shared" ref="F378:F385" si="80">IF(E378&lt;&gt;"",E378*3,"")</f>
        <v>149.5917458</v>
      </c>
      <c r="G378" s="10" t="s">
        <v>21</v>
      </c>
    </row>
    <row r="379" ht="15.75" customHeight="1">
      <c r="A379" s="12" t="s">
        <v>16</v>
      </c>
      <c r="B379" s="12" t="s">
        <v>52</v>
      </c>
      <c r="C379" s="13">
        <v>7.684147382148744</v>
      </c>
      <c r="D379" s="13">
        <v>90.57</v>
      </c>
      <c r="E379" s="13">
        <f t="shared" si="79"/>
        <v>7.415589738</v>
      </c>
      <c r="F379" s="13">
        <f t="shared" si="80"/>
        <v>22.24676921</v>
      </c>
      <c r="G379" s="12" t="s">
        <v>21</v>
      </c>
    </row>
    <row r="380" ht="15.75" customHeight="1">
      <c r="A380" s="12" t="s">
        <v>16</v>
      </c>
      <c r="B380" s="12" t="s">
        <v>271</v>
      </c>
      <c r="C380" s="13">
        <v>22.666266746761522</v>
      </c>
      <c r="D380" s="13">
        <v>88.26</v>
      </c>
      <c r="E380" s="13">
        <f t="shared" si="79"/>
        <v>22.44659386</v>
      </c>
      <c r="F380" s="13">
        <f t="shared" si="80"/>
        <v>67.33978159</v>
      </c>
      <c r="G380" s="12" t="s">
        <v>21</v>
      </c>
    </row>
    <row r="381" ht="15.75" customHeight="1">
      <c r="A381" s="12" t="s">
        <v>16</v>
      </c>
      <c r="B381" s="12" t="s">
        <v>272</v>
      </c>
      <c r="C381" s="13">
        <v>18.91689803001151</v>
      </c>
      <c r="D381" s="13">
        <v>83.98</v>
      </c>
      <c r="E381" s="13">
        <f t="shared" si="79"/>
        <v>19.68830955</v>
      </c>
      <c r="F381" s="13">
        <f t="shared" si="80"/>
        <v>59.06492865</v>
      </c>
      <c r="G381" s="12" t="s">
        <v>21</v>
      </c>
    </row>
    <row r="382" ht="15.75" customHeight="1">
      <c r="A382" s="12" t="s">
        <v>22</v>
      </c>
      <c r="B382" s="12" t="s">
        <v>23</v>
      </c>
      <c r="C382" s="13">
        <v>0.1</v>
      </c>
      <c r="D382" s="13">
        <v>88.48</v>
      </c>
      <c r="E382" s="13">
        <f t="shared" si="79"/>
        <v>0.09878460383</v>
      </c>
      <c r="F382" s="13">
        <f t="shared" si="80"/>
        <v>0.2963538115</v>
      </c>
      <c r="G382" s="12" t="s">
        <v>21</v>
      </c>
    </row>
    <row r="383" ht="15.75" customHeight="1">
      <c r="A383" s="12" t="s">
        <v>24</v>
      </c>
      <c r="B383" s="12" t="s">
        <v>26</v>
      </c>
      <c r="C383" s="13">
        <v>0.35461863581243735</v>
      </c>
      <c r="D383" s="13">
        <v>99.89</v>
      </c>
      <c r="E383" s="13">
        <f t="shared" si="79"/>
        <v>0.3102943859</v>
      </c>
      <c r="F383" s="13">
        <f t="shared" si="80"/>
        <v>0.9308831578</v>
      </c>
      <c r="G383" s="12" t="s">
        <v>21</v>
      </c>
    </row>
    <row r="384" ht="15.75" customHeight="1">
      <c r="A384" s="12" t="s">
        <v>164</v>
      </c>
      <c r="B384" s="12" t="s">
        <v>165</v>
      </c>
      <c r="C384" s="13">
        <v>0.1</v>
      </c>
      <c r="D384" s="13">
        <v>99.02</v>
      </c>
      <c r="E384" s="13">
        <f t="shared" si="79"/>
        <v>0.08826966014</v>
      </c>
      <c r="F384" s="13">
        <f t="shared" si="80"/>
        <v>0.2648089804</v>
      </c>
      <c r="G384" s="12" t="s">
        <v>21</v>
      </c>
    </row>
    <row r="385" ht="15.75" customHeight="1">
      <c r="A385" s="14" t="s">
        <v>164</v>
      </c>
      <c r="B385" s="14" t="s">
        <v>274</v>
      </c>
      <c r="C385" s="15">
        <v>0.1</v>
      </c>
      <c r="D385" s="15">
        <v>99.05</v>
      </c>
      <c r="E385" s="15">
        <f t="shared" si="79"/>
        <v>0.08824292526</v>
      </c>
      <c r="F385" s="15">
        <f t="shared" si="80"/>
        <v>0.2647287758</v>
      </c>
      <c r="G385" s="14" t="s">
        <v>21</v>
      </c>
    </row>
    <row r="386" ht="15.75" customHeight="1">
      <c r="A386" s="16" t="s">
        <v>27</v>
      </c>
      <c r="B386" s="17"/>
      <c r="C386" s="18">
        <f>SUM(C378:C385)</f>
        <v>100</v>
      </c>
      <c r="D386" s="18"/>
      <c r="E386" s="18">
        <f t="shared" ref="E386:F386" si="81">SUM(E378:E385)</f>
        <v>100</v>
      </c>
      <c r="F386" s="18">
        <f t="shared" si="81"/>
        <v>300</v>
      </c>
      <c r="G386" s="16"/>
    </row>
    <row r="387" ht="15.75" customHeight="1">
      <c r="A387" s="19" t="s">
        <v>33</v>
      </c>
      <c r="B387" s="20">
        <v>8.520667150108768</v>
      </c>
      <c r="C387" s="19" t="s">
        <v>35</v>
      </c>
      <c r="D387" s="20">
        <v>79.99999999999999</v>
      </c>
      <c r="E387" s="19" t="s">
        <v>36</v>
      </c>
      <c r="F387" s="20">
        <v>14.404497787130143</v>
      </c>
      <c r="G387" s="19"/>
    </row>
    <row r="388" ht="15.75" customHeight="1">
      <c r="A388" s="19" t="s">
        <v>37</v>
      </c>
      <c r="B388" s="20">
        <v>0.4884466460432187</v>
      </c>
      <c r="C388" s="19" t="s">
        <v>38</v>
      </c>
      <c r="D388" s="20">
        <v>0.23886097524121233</v>
      </c>
      <c r="E388" s="19" t="s">
        <v>39</v>
      </c>
      <c r="F388" s="20">
        <v>2.0448993208286272</v>
      </c>
      <c r="G388" s="19"/>
    </row>
    <row r="389" ht="15.75" customHeight="1">
      <c r="A389" s="19" t="s">
        <v>40</v>
      </c>
      <c r="B389" s="20">
        <v>3.417401362396638</v>
      </c>
      <c r="C389" s="19" t="s">
        <v>41</v>
      </c>
      <c r="D389" s="20">
        <v>0.0</v>
      </c>
      <c r="E389" s="19" t="s">
        <v>42</v>
      </c>
      <c r="F389" s="20">
        <v>0.0</v>
      </c>
      <c r="G389" s="19"/>
    </row>
    <row r="390" ht="15.75" customHeight="1">
      <c r="A390" s="21" t="s">
        <v>307</v>
      </c>
    </row>
    <row r="391" ht="30.0" customHeight="1">
      <c r="A391" s="26" t="s">
        <v>51</v>
      </c>
      <c r="B391" s="23"/>
      <c r="C391" s="23"/>
      <c r="D391" s="23"/>
      <c r="E391" s="23"/>
      <c r="F391" s="23"/>
      <c r="G391" s="24"/>
    </row>
    <row r="392" ht="15.75" customHeight="1"/>
    <row r="393" ht="22.5" customHeight="1">
      <c r="A393" s="3" t="s">
        <v>309</v>
      </c>
    </row>
    <row r="394" ht="15.75" customHeight="1">
      <c r="A394" s="5" t="s">
        <v>310</v>
      </c>
      <c r="B394" s="6"/>
      <c r="C394" s="6"/>
      <c r="D394" s="6"/>
      <c r="E394" s="6"/>
      <c r="F394" s="6"/>
      <c r="G394" s="7"/>
    </row>
    <row r="395" ht="30.0" customHeight="1">
      <c r="A395" s="8" t="s">
        <v>9</v>
      </c>
      <c r="B395" s="8" t="s">
        <v>10</v>
      </c>
      <c r="C395" s="8" t="s">
        <v>11</v>
      </c>
      <c r="D395" s="8" t="s">
        <v>12</v>
      </c>
      <c r="E395" s="8" t="s">
        <v>13</v>
      </c>
      <c r="F395" s="8" t="s">
        <v>14</v>
      </c>
      <c r="G395" s="8" t="s">
        <v>15</v>
      </c>
    </row>
    <row r="396" ht="15.75" customHeight="1">
      <c r="A396" s="10" t="s">
        <v>16</v>
      </c>
      <c r="B396" s="10" t="s">
        <v>19</v>
      </c>
      <c r="C396" s="11">
        <v>41.9</v>
      </c>
      <c r="D396" s="11">
        <v>87.78</v>
      </c>
      <c r="E396" s="11">
        <f t="shared" ref="E396:E403" si="82">IF(D396&gt;0,(C396/D396)/SUMPRODUCT($C$396:$C$403/$D$396:$D$403)*100,"")</f>
        <v>42.51636154</v>
      </c>
      <c r="F396" s="11">
        <f t="shared" ref="F396:F403" si="83">IF(E396&lt;&gt;"",E396*3,"")</f>
        <v>127.5490846</v>
      </c>
      <c r="G396" s="10" t="s">
        <v>21</v>
      </c>
    </row>
    <row r="397" ht="15.75" customHeight="1">
      <c r="A397" s="12" t="s">
        <v>16</v>
      </c>
      <c r="B397" s="12" t="s">
        <v>52</v>
      </c>
      <c r="C397" s="13">
        <v>41.28</v>
      </c>
      <c r="D397" s="13">
        <v>90.57</v>
      </c>
      <c r="E397" s="13">
        <f t="shared" si="82"/>
        <v>40.59690878</v>
      </c>
      <c r="F397" s="13">
        <f t="shared" si="83"/>
        <v>121.7907263</v>
      </c>
      <c r="G397" s="12" t="s">
        <v>21</v>
      </c>
    </row>
    <row r="398" ht="15.75" customHeight="1">
      <c r="A398" s="12" t="s">
        <v>16</v>
      </c>
      <c r="B398" s="12" t="s">
        <v>271</v>
      </c>
      <c r="C398" s="13">
        <v>7.07</v>
      </c>
      <c r="D398" s="13">
        <v>88.26</v>
      </c>
      <c r="E398" s="13">
        <f t="shared" si="82"/>
        <v>7.13498617</v>
      </c>
      <c r="F398" s="13">
        <f t="shared" si="83"/>
        <v>21.40495851</v>
      </c>
      <c r="G398" s="12" t="s">
        <v>21</v>
      </c>
    </row>
    <row r="399" ht="15.75" customHeight="1">
      <c r="A399" s="12" t="s">
        <v>16</v>
      </c>
      <c r="B399" s="12" t="s">
        <v>272</v>
      </c>
      <c r="C399" s="13">
        <v>4.45</v>
      </c>
      <c r="D399" s="13">
        <v>83.98</v>
      </c>
      <c r="E399" s="13">
        <f t="shared" si="82"/>
        <v>4.719780326</v>
      </c>
      <c r="F399" s="13">
        <f t="shared" si="83"/>
        <v>14.15934098</v>
      </c>
      <c r="G399" s="12" t="s">
        <v>21</v>
      </c>
    </row>
    <row r="400" ht="15.75" customHeight="1">
      <c r="A400" s="12" t="s">
        <v>22</v>
      </c>
      <c r="B400" s="12" t="s">
        <v>23</v>
      </c>
      <c r="C400" s="13">
        <v>2.56</v>
      </c>
      <c r="D400" s="13">
        <v>88.48</v>
      </c>
      <c r="E400" s="13">
        <f t="shared" si="82"/>
        <v>2.577107271</v>
      </c>
      <c r="F400" s="13">
        <f t="shared" si="83"/>
        <v>7.731321814</v>
      </c>
      <c r="G400" s="12" t="s">
        <v>21</v>
      </c>
    </row>
    <row r="401" ht="15.75" customHeight="1">
      <c r="A401" s="12" t="s">
        <v>24</v>
      </c>
      <c r="B401" s="12" t="s">
        <v>26</v>
      </c>
      <c r="C401" s="13">
        <v>1.24</v>
      </c>
      <c r="D401" s="13">
        <v>99.89</v>
      </c>
      <c r="E401" s="13">
        <f t="shared" si="82"/>
        <v>1.105700019</v>
      </c>
      <c r="F401" s="13">
        <f t="shared" si="83"/>
        <v>3.317100057</v>
      </c>
      <c r="G401" s="12" t="s">
        <v>21</v>
      </c>
    </row>
    <row r="402" ht="15.75" customHeight="1">
      <c r="A402" s="12" t="s">
        <v>164</v>
      </c>
      <c r="B402" s="12" t="s">
        <v>165</v>
      </c>
      <c r="C402" s="13">
        <v>1.0</v>
      </c>
      <c r="D402" s="13">
        <v>99.02</v>
      </c>
      <c r="E402" s="13">
        <f t="shared" si="82"/>
        <v>0.8995280758</v>
      </c>
      <c r="F402" s="13">
        <f t="shared" si="83"/>
        <v>2.698584228</v>
      </c>
      <c r="G402" s="12" t="s">
        <v>21</v>
      </c>
    </row>
    <row r="403" ht="15.75" customHeight="1">
      <c r="A403" s="14" t="s">
        <v>164</v>
      </c>
      <c r="B403" s="14" t="s">
        <v>274</v>
      </c>
      <c r="C403" s="15">
        <v>0.5</v>
      </c>
      <c r="D403" s="15">
        <v>99.05</v>
      </c>
      <c r="E403" s="15">
        <f t="shared" si="82"/>
        <v>0.4496278146</v>
      </c>
      <c r="F403" s="15">
        <f t="shared" si="83"/>
        <v>1.348883444</v>
      </c>
      <c r="G403" s="14" t="s">
        <v>21</v>
      </c>
    </row>
    <row r="404" ht="15.75" customHeight="1">
      <c r="A404" s="16" t="s">
        <v>27</v>
      </c>
      <c r="B404" s="17"/>
      <c r="C404" s="18">
        <f>SUM(C396:C403)</f>
        <v>100</v>
      </c>
      <c r="D404" s="18"/>
      <c r="E404" s="18">
        <f t="shared" ref="E404:F404" si="84">SUM(E396:E403)</f>
        <v>100</v>
      </c>
      <c r="F404" s="18">
        <f t="shared" si="84"/>
        <v>300</v>
      </c>
      <c r="G404" s="16"/>
    </row>
    <row r="405" ht="15.75" customHeight="1">
      <c r="A405" s="19" t="s">
        <v>33</v>
      </c>
      <c r="B405" s="20">
        <v>11.759684</v>
      </c>
      <c r="C405" s="19" t="s">
        <v>35</v>
      </c>
      <c r="D405" s="20">
        <v>77.847365</v>
      </c>
      <c r="E405" s="19" t="s">
        <v>36</v>
      </c>
      <c r="F405" s="20">
        <v>19.342638000000004</v>
      </c>
      <c r="G405" s="19"/>
    </row>
    <row r="406" ht="15.75" customHeight="1">
      <c r="A406" s="19" t="s">
        <v>37</v>
      </c>
      <c r="B406" s="20">
        <v>0.6163</v>
      </c>
      <c r="C406" s="19" t="s">
        <v>38</v>
      </c>
      <c r="D406" s="20">
        <v>0.28908199999999995</v>
      </c>
      <c r="E406" s="19" t="s">
        <v>39</v>
      </c>
      <c r="F406" s="20">
        <v>2.1319210466234497</v>
      </c>
      <c r="G406" s="19"/>
    </row>
    <row r="407" ht="15.75" customHeight="1">
      <c r="A407" s="19" t="s">
        <v>40</v>
      </c>
      <c r="B407" s="20">
        <v>4.183675999999999</v>
      </c>
      <c r="C407" s="19" t="s">
        <v>41</v>
      </c>
      <c r="D407" s="20">
        <v>0.0</v>
      </c>
      <c r="E407" s="19" t="s">
        <v>42</v>
      </c>
      <c r="F407" s="20">
        <v>1.0</v>
      </c>
      <c r="G407" s="19"/>
    </row>
    <row r="408" ht="15.75" customHeight="1">
      <c r="A408" s="21" t="s">
        <v>313</v>
      </c>
    </row>
    <row r="409" ht="30.0" customHeight="1">
      <c r="A409" s="22" t="s">
        <v>315</v>
      </c>
      <c r="B409" s="23"/>
      <c r="C409" s="23"/>
      <c r="D409" s="23"/>
      <c r="E409" s="23"/>
      <c r="F409" s="23"/>
      <c r="G409" s="24"/>
    </row>
    <row r="410" ht="15.75" customHeight="1"/>
    <row r="411" ht="22.5" customHeight="1">
      <c r="A411" s="3" t="s">
        <v>317</v>
      </c>
    </row>
    <row r="412" ht="15.75" customHeight="1">
      <c r="A412" s="5" t="s">
        <v>318</v>
      </c>
      <c r="B412" s="6"/>
      <c r="C412" s="6"/>
      <c r="D412" s="6"/>
      <c r="E412" s="6"/>
      <c r="F412" s="6"/>
      <c r="G412" s="7"/>
    </row>
    <row r="413" ht="30.0" customHeight="1">
      <c r="A413" s="8" t="s">
        <v>9</v>
      </c>
      <c r="B413" s="8" t="s">
        <v>10</v>
      </c>
      <c r="C413" s="8" t="s">
        <v>11</v>
      </c>
      <c r="D413" s="8" t="s">
        <v>12</v>
      </c>
      <c r="E413" s="8" t="s">
        <v>13</v>
      </c>
      <c r="F413" s="8" t="s">
        <v>14</v>
      </c>
      <c r="G413" s="8" t="s">
        <v>15</v>
      </c>
    </row>
    <row r="414" ht="15.75" customHeight="1">
      <c r="A414" s="10" t="s">
        <v>16</v>
      </c>
      <c r="B414" s="10" t="s">
        <v>19</v>
      </c>
      <c r="C414" s="11">
        <v>71.28999999999999</v>
      </c>
      <c r="D414" s="11">
        <v>87.78</v>
      </c>
      <c r="E414" s="11">
        <f t="shared" ref="E414:E421" si="85">IF(D414&gt;0,(C414/D414)/SUMPRODUCT($C$414:$C$421/$D$414:$D$421)*100,"")</f>
        <v>71.76715633</v>
      </c>
      <c r="F414" s="11">
        <f t="shared" ref="F414:F421" si="86">IF(E414&lt;&gt;"",E414*3,"")</f>
        <v>215.301469</v>
      </c>
      <c r="G414" s="10" t="s">
        <v>21</v>
      </c>
    </row>
    <row r="415" ht="15.75" customHeight="1">
      <c r="A415" s="12" t="s">
        <v>16</v>
      </c>
      <c r="B415" s="12" t="s">
        <v>52</v>
      </c>
      <c r="C415" s="13">
        <v>12.079999999999998</v>
      </c>
      <c r="D415" s="13">
        <v>90.57</v>
      </c>
      <c r="E415" s="13">
        <f t="shared" si="85"/>
        <v>11.78623963</v>
      </c>
      <c r="F415" s="13">
        <f t="shared" si="86"/>
        <v>35.35871889</v>
      </c>
      <c r="G415" s="12" t="s">
        <v>21</v>
      </c>
    </row>
    <row r="416" ht="15.75" customHeight="1">
      <c r="A416" s="12" t="s">
        <v>16</v>
      </c>
      <c r="B416" s="12" t="s">
        <v>271</v>
      </c>
      <c r="C416" s="13">
        <v>5.429999999999999</v>
      </c>
      <c r="D416" s="13">
        <v>88.26</v>
      </c>
      <c r="E416" s="13">
        <f t="shared" si="85"/>
        <v>5.436615345</v>
      </c>
      <c r="F416" s="13">
        <f t="shared" si="86"/>
        <v>16.30984603</v>
      </c>
      <c r="G416" s="12" t="s">
        <v>21</v>
      </c>
    </row>
    <row r="417" ht="15.75" customHeight="1">
      <c r="A417" s="12" t="s">
        <v>16</v>
      </c>
      <c r="B417" s="12" t="s">
        <v>272</v>
      </c>
      <c r="C417" s="13">
        <v>2.8099999999999996</v>
      </c>
      <c r="D417" s="13">
        <v>83.98</v>
      </c>
      <c r="E417" s="13">
        <f t="shared" si="85"/>
        <v>2.956808171</v>
      </c>
      <c r="F417" s="13">
        <f t="shared" si="86"/>
        <v>8.870424513</v>
      </c>
      <c r="G417" s="12" t="s">
        <v>21</v>
      </c>
    </row>
    <row r="418" ht="15.75" customHeight="1">
      <c r="A418" s="12" t="s">
        <v>22</v>
      </c>
      <c r="B418" s="12" t="s">
        <v>23</v>
      </c>
      <c r="C418" s="13">
        <v>5.429999999999999</v>
      </c>
      <c r="D418" s="13">
        <v>88.48</v>
      </c>
      <c r="E418" s="13">
        <f t="shared" si="85"/>
        <v>5.42309754</v>
      </c>
      <c r="F418" s="13">
        <f t="shared" si="86"/>
        <v>16.26929262</v>
      </c>
      <c r="G418" s="12" t="s">
        <v>21</v>
      </c>
    </row>
    <row r="419" ht="15.75" customHeight="1">
      <c r="A419" s="12" t="s">
        <v>24</v>
      </c>
      <c r="B419" s="12" t="s">
        <v>26</v>
      </c>
      <c r="C419" s="13">
        <v>1.4599999999999997</v>
      </c>
      <c r="D419" s="13">
        <v>99.89</v>
      </c>
      <c r="E419" s="13">
        <f t="shared" si="85"/>
        <v>1.291586636</v>
      </c>
      <c r="F419" s="13">
        <f t="shared" si="86"/>
        <v>3.874759908</v>
      </c>
      <c r="G419" s="12" t="s">
        <v>21</v>
      </c>
    </row>
    <row r="420" ht="15.75" customHeight="1">
      <c r="A420" s="12" t="s">
        <v>164</v>
      </c>
      <c r="B420" s="12" t="s">
        <v>165</v>
      </c>
      <c r="C420" s="13">
        <v>1.0</v>
      </c>
      <c r="D420" s="13">
        <v>99.02</v>
      </c>
      <c r="E420" s="13">
        <f t="shared" si="85"/>
        <v>0.8924209934</v>
      </c>
      <c r="F420" s="13">
        <f t="shared" si="86"/>
        <v>2.67726298</v>
      </c>
      <c r="G420" s="12" t="s">
        <v>21</v>
      </c>
    </row>
    <row r="421" ht="15.75" customHeight="1">
      <c r="A421" s="14" t="s">
        <v>164</v>
      </c>
      <c r="B421" s="14" t="s">
        <v>274</v>
      </c>
      <c r="C421" s="15">
        <v>0.5</v>
      </c>
      <c r="D421" s="15">
        <v>99.05</v>
      </c>
      <c r="E421" s="15">
        <f t="shared" si="85"/>
        <v>0.4460753496</v>
      </c>
      <c r="F421" s="15">
        <f t="shared" si="86"/>
        <v>1.338226049</v>
      </c>
      <c r="G421" s="14" t="s">
        <v>21</v>
      </c>
    </row>
    <row r="422" ht="15.75" customHeight="1">
      <c r="A422" s="16" t="s">
        <v>27</v>
      </c>
      <c r="B422" s="17"/>
      <c r="C422" s="18">
        <f>SUM(C414:C421)</f>
        <v>100</v>
      </c>
      <c r="D422" s="18"/>
      <c r="E422" s="18">
        <f t="shared" ref="E422:F422" si="87">SUM(E414:E421)</f>
        <v>100</v>
      </c>
      <c r="F422" s="18">
        <f t="shared" si="87"/>
        <v>300</v>
      </c>
      <c r="G422" s="16"/>
    </row>
    <row r="423" ht="15.75" customHeight="1">
      <c r="A423" s="19" t="s">
        <v>33</v>
      </c>
      <c r="B423" s="20">
        <v>11.471065999999999</v>
      </c>
      <c r="C423" s="19" t="s">
        <v>35</v>
      </c>
      <c r="D423" s="20">
        <v>81.042233</v>
      </c>
      <c r="E423" s="19" t="s">
        <v>36</v>
      </c>
      <c r="F423" s="20">
        <v>15.545378</v>
      </c>
      <c r="G423" s="19"/>
    </row>
    <row r="424" ht="15.75" customHeight="1">
      <c r="A424" s="19" t="s">
        <v>37</v>
      </c>
      <c r="B424" s="20">
        <v>0.650262</v>
      </c>
      <c r="C424" s="19" t="s">
        <v>38</v>
      </c>
      <c r="D424" s="20">
        <v>0.2701779999999999</v>
      </c>
      <c r="E424" s="19" t="s">
        <v>39</v>
      </c>
      <c r="F424" s="20">
        <v>2.4067910784741917</v>
      </c>
      <c r="G424" s="19"/>
    </row>
    <row r="425" ht="15.75" customHeight="1">
      <c r="A425" s="19" t="s">
        <v>40</v>
      </c>
      <c r="B425" s="20">
        <v>3.8935949999999995</v>
      </c>
      <c r="C425" s="19" t="s">
        <v>41</v>
      </c>
      <c r="D425" s="20">
        <v>0.0</v>
      </c>
      <c r="E425" s="19" t="s">
        <v>42</v>
      </c>
      <c r="F425" s="20">
        <v>2.0</v>
      </c>
      <c r="G425" s="19"/>
    </row>
    <row r="426" ht="15.75" customHeight="1">
      <c r="A426" s="21" t="s">
        <v>321</v>
      </c>
    </row>
    <row r="427" ht="30.0" customHeight="1">
      <c r="A427" s="22" t="s">
        <v>322</v>
      </c>
      <c r="B427" s="23"/>
      <c r="C427" s="23"/>
      <c r="D427" s="23"/>
      <c r="E427" s="23"/>
      <c r="F427" s="23"/>
      <c r="G427" s="24"/>
    </row>
    <row r="428" ht="15.75" customHeight="1"/>
    <row r="429" ht="22.5" customHeight="1">
      <c r="A429" s="3" t="s">
        <v>323</v>
      </c>
    </row>
    <row r="430" ht="15.75" customHeight="1">
      <c r="A430" s="5" t="s">
        <v>324</v>
      </c>
      <c r="B430" s="6"/>
      <c r="C430" s="6"/>
      <c r="D430" s="6"/>
      <c r="E430" s="6"/>
      <c r="F430" s="6"/>
      <c r="G430" s="7"/>
    </row>
    <row r="431" ht="30.0" customHeight="1">
      <c r="A431" s="8" t="s">
        <v>9</v>
      </c>
      <c r="B431" s="8" t="s">
        <v>10</v>
      </c>
      <c r="C431" s="8" t="s">
        <v>11</v>
      </c>
      <c r="D431" s="8" t="s">
        <v>12</v>
      </c>
      <c r="E431" s="8" t="s">
        <v>13</v>
      </c>
      <c r="F431" s="8" t="s">
        <v>14</v>
      </c>
      <c r="G431" s="8" t="s">
        <v>15</v>
      </c>
    </row>
    <row r="432" ht="15.75" customHeight="1">
      <c r="A432" s="10" t="s">
        <v>16</v>
      </c>
      <c r="B432" s="10" t="s">
        <v>19</v>
      </c>
      <c r="C432" s="11">
        <v>70.39</v>
      </c>
      <c r="D432" s="11">
        <v>87.78</v>
      </c>
      <c r="E432" s="11">
        <f t="shared" ref="E432:E439" si="88">IF(D432&gt;0,(C432/D432)/SUMPRODUCT($C$432:$C$439/$D$432:$D$439)*100,"")</f>
        <v>70.80287318</v>
      </c>
      <c r="F432" s="11">
        <f t="shared" ref="F432:F439" si="89">IF(E432&lt;&gt;"",E432*3,"")</f>
        <v>212.4086195</v>
      </c>
      <c r="G432" s="10" t="s">
        <v>21</v>
      </c>
    </row>
    <row r="433" ht="15.75" customHeight="1">
      <c r="A433" s="12" t="s">
        <v>16</v>
      </c>
      <c r="B433" s="12" t="s">
        <v>52</v>
      </c>
      <c r="C433" s="13">
        <v>10.45</v>
      </c>
      <c r="D433" s="13">
        <v>90.57</v>
      </c>
      <c r="E433" s="13">
        <f t="shared" si="88"/>
        <v>10.18749517</v>
      </c>
      <c r="F433" s="13">
        <f t="shared" si="89"/>
        <v>30.5624855</v>
      </c>
      <c r="G433" s="12" t="s">
        <v>21</v>
      </c>
    </row>
    <row r="434" ht="15.75" customHeight="1">
      <c r="A434" s="12" t="s">
        <v>16</v>
      </c>
      <c r="B434" s="12" t="s">
        <v>271</v>
      </c>
      <c r="C434" s="13">
        <v>5.68</v>
      </c>
      <c r="D434" s="13">
        <v>88.26</v>
      </c>
      <c r="E434" s="13">
        <f t="shared" si="88"/>
        <v>5.682244352</v>
      </c>
      <c r="F434" s="13">
        <f t="shared" si="89"/>
        <v>17.04673305</v>
      </c>
      <c r="G434" s="12" t="s">
        <v>21</v>
      </c>
    </row>
    <row r="435" ht="15.75" customHeight="1">
      <c r="A435" s="12" t="s">
        <v>16</v>
      </c>
      <c r="B435" s="12" t="s">
        <v>272</v>
      </c>
      <c r="C435" s="13">
        <v>3.64</v>
      </c>
      <c r="D435" s="13">
        <v>83.98</v>
      </c>
      <c r="E435" s="13">
        <f t="shared" si="88"/>
        <v>3.827022419</v>
      </c>
      <c r="F435" s="13">
        <f t="shared" si="89"/>
        <v>11.48106726</v>
      </c>
      <c r="G435" s="12" t="s">
        <v>21</v>
      </c>
    </row>
    <row r="436" ht="15.75" customHeight="1">
      <c r="A436" s="12" t="s">
        <v>22</v>
      </c>
      <c r="B436" s="12" t="s">
        <v>23</v>
      </c>
      <c r="C436" s="13">
        <v>6.94</v>
      </c>
      <c r="D436" s="13">
        <v>88.48</v>
      </c>
      <c r="E436" s="13">
        <f t="shared" si="88"/>
        <v>6.925479523</v>
      </c>
      <c r="F436" s="13">
        <f t="shared" si="89"/>
        <v>20.77643857</v>
      </c>
      <c r="G436" s="12" t="s">
        <v>21</v>
      </c>
    </row>
    <row r="437" ht="15.75" customHeight="1">
      <c r="A437" s="12" t="s">
        <v>24</v>
      </c>
      <c r="B437" s="12" t="s">
        <v>26</v>
      </c>
      <c r="C437" s="13">
        <v>1.4</v>
      </c>
      <c r="D437" s="13">
        <v>99.89</v>
      </c>
      <c r="E437" s="13">
        <f t="shared" si="88"/>
        <v>1.23748948</v>
      </c>
      <c r="F437" s="13">
        <f t="shared" si="89"/>
        <v>3.712468439</v>
      </c>
      <c r="G437" s="12" t="s">
        <v>21</v>
      </c>
    </row>
    <row r="438" ht="15.75" customHeight="1">
      <c r="A438" s="12" t="s">
        <v>164</v>
      </c>
      <c r="B438" s="12" t="s">
        <v>165</v>
      </c>
      <c r="C438" s="13">
        <v>1.0</v>
      </c>
      <c r="D438" s="13">
        <v>99.02</v>
      </c>
      <c r="E438" s="13">
        <f t="shared" si="88"/>
        <v>0.8916872791</v>
      </c>
      <c r="F438" s="13">
        <f t="shared" si="89"/>
        <v>2.675061837</v>
      </c>
      <c r="G438" s="12" t="s">
        <v>21</v>
      </c>
    </row>
    <row r="439" ht="15.75" customHeight="1">
      <c r="A439" s="14" t="s">
        <v>164</v>
      </c>
      <c r="B439" s="14" t="s">
        <v>274</v>
      </c>
      <c r="C439" s="15">
        <v>0.5</v>
      </c>
      <c r="D439" s="15">
        <v>99.05</v>
      </c>
      <c r="E439" s="15">
        <f t="shared" si="88"/>
        <v>0.4457086036</v>
      </c>
      <c r="F439" s="15">
        <f t="shared" si="89"/>
        <v>1.337125811</v>
      </c>
      <c r="G439" s="14" t="s">
        <v>21</v>
      </c>
    </row>
    <row r="440" ht="15.75" customHeight="1">
      <c r="A440" s="16" t="s">
        <v>27</v>
      </c>
      <c r="B440" s="17"/>
      <c r="C440" s="18">
        <f>SUM(C432:C439)</f>
        <v>100</v>
      </c>
      <c r="D440" s="18"/>
      <c r="E440" s="18">
        <f t="shared" ref="E440:F440" si="90">SUM(E432:E439)</f>
        <v>100</v>
      </c>
      <c r="F440" s="18">
        <f t="shared" si="90"/>
        <v>300</v>
      </c>
      <c r="G440" s="16"/>
    </row>
    <row r="441" ht="15.75" customHeight="1">
      <c r="A441" s="19" t="s">
        <v>33</v>
      </c>
      <c r="B441" s="20">
        <v>11.945458999999998</v>
      </c>
      <c r="C441" s="19" t="s">
        <v>35</v>
      </c>
      <c r="D441" s="20">
        <v>81.036499</v>
      </c>
      <c r="E441" s="19" t="s">
        <v>36</v>
      </c>
      <c r="F441" s="20">
        <v>15.289832</v>
      </c>
      <c r="G441" s="19"/>
    </row>
    <row r="442" ht="15.75" customHeight="1">
      <c r="A442" s="19" t="s">
        <v>37</v>
      </c>
      <c r="B442" s="20">
        <v>0.644656</v>
      </c>
      <c r="C442" s="19" t="s">
        <v>38</v>
      </c>
      <c r="D442" s="20">
        <v>0.27251999999999993</v>
      </c>
      <c r="E442" s="19" t="s">
        <v>39</v>
      </c>
      <c r="F442" s="20">
        <v>2.3655364743872016</v>
      </c>
      <c r="G442" s="19"/>
    </row>
    <row r="443" ht="15.75" customHeight="1">
      <c r="A443" s="19" t="s">
        <v>40</v>
      </c>
      <c r="B443" s="20">
        <v>3.8174689999999996</v>
      </c>
      <c r="C443" s="19" t="s">
        <v>41</v>
      </c>
      <c r="D443" s="20">
        <v>0.0</v>
      </c>
      <c r="E443" s="19" t="s">
        <v>42</v>
      </c>
      <c r="F443" s="20">
        <v>2.0</v>
      </c>
      <c r="G443" s="19"/>
    </row>
    <row r="444" ht="15.75" customHeight="1">
      <c r="A444" s="21" t="s">
        <v>333</v>
      </c>
    </row>
    <row r="445" ht="30.0" customHeight="1">
      <c r="A445" s="22" t="s">
        <v>334</v>
      </c>
      <c r="B445" s="23"/>
      <c r="C445" s="23"/>
      <c r="D445" s="23"/>
      <c r="E445" s="23"/>
      <c r="F445" s="23"/>
      <c r="G445" s="24"/>
    </row>
    <row r="446" ht="15.75" customHeight="1"/>
    <row r="447" ht="22.5" customHeight="1">
      <c r="A447" s="3" t="s">
        <v>337</v>
      </c>
    </row>
    <row r="448" ht="15.75" customHeight="1">
      <c r="A448" s="5" t="s">
        <v>338</v>
      </c>
      <c r="B448" s="6"/>
      <c r="C448" s="6"/>
      <c r="D448" s="6"/>
      <c r="E448" s="6"/>
      <c r="F448" s="6"/>
      <c r="G448" s="7"/>
    </row>
    <row r="449" ht="30.0" customHeight="1">
      <c r="A449" s="8" t="s">
        <v>9</v>
      </c>
      <c r="B449" s="8" t="s">
        <v>10</v>
      </c>
      <c r="C449" s="8" t="s">
        <v>11</v>
      </c>
      <c r="D449" s="8" t="s">
        <v>12</v>
      </c>
      <c r="E449" s="8" t="s">
        <v>13</v>
      </c>
      <c r="F449" s="8" t="s">
        <v>14</v>
      </c>
      <c r="G449" s="8" t="s">
        <v>15</v>
      </c>
    </row>
    <row r="450" ht="15.75" customHeight="1">
      <c r="A450" s="10" t="s">
        <v>16</v>
      </c>
      <c r="B450" s="10" t="s">
        <v>19</v>
      </c>
      <c r="C450" s="11">
        <v>67.14</v>
      </c>
      <c r="D450" s="11">
        <v>87.78</v>
      </c>
      <c r="E450" s="11">
        <f t="shared" ref="E450:E457" si="91">IF(D450&gt;0,(C450/D450)/SUMPRODUCT($C$450:$C$457/$D$450:$D$457)*100,"")</f>
        <v>67.73974643</v>
      </c>
      <c r="F450" s="11">
        <f t="shared" ref="F450:F457" si="92">IF(E450&lt;&gt;"",E450*3,"")</f>
        <v>203.2192393</v>
      </c>
      <c r="G450" s="10" t="s">
        <v>21</v>
      </c>
    </row>
    <row r="451" ht="15.75" customHeight="1">
      <c r="A451" s="12" t="s">
        <v>16</v>
      </c>
      <c r="B451" s="12" t="s">
        <v>52</v>
      </c>
      <c r="C451" s="13">
        <v>15.97</v>
      </c>
      <c r="D451" s="13">
        <v>90.57</v>
      </c>
      <c r="E451" s="13">
        <f t="shared" si="91"/>
        <v>15.61630759</v>
      </c>
      <c r="F451" s="13">
        <f t="shared" si="92"/>
        <v>46.84892278</v>
      </c>
      <c r="G451" s="12" t="s">
        <v>21</v>
      </c>
    </row>
    <row r="452" ht="15.75" customHeight="1">
      <c r="A452" s="12" t="s">
        <v>16</v>
      </c>
      <c r="B452" s="12" t="s">
        <v>271</v>
      </c>
      <c r="C452" s="13">
        <v>7.670000000000001</v>
      </c>
      <c r="D452" s="13">
        <v>88.26</v>
      </c>
      <c r="E452" s="13">
        <f t="shared" si="91"/>
        <v>7.696428641</v>
      </c>
      <c r="F452" s="13">
        <f t="shared" si="92"/>
        <v>23.08928592</v>
      </c>
      <c r="G452" s="12" t="s">
        <v>21</v>
      </c>
    </row>
    <row r="453" ht="15.75" customHeight="1">
      <c r="A453" s="12" t="s">
        <v>16</v>
      </c>
      <c r="B453" s="12" t="s">
        <v>272</v>
      </c>
      <c r="C453" s="13">
        <v>1.0</v>
      </c>
      <c r="D453" s="13">
        <v>83.98</v>
      </c>
      <c r="E453" s="13">
        <f t="shared" si="91"/>
        <v>1.054585841</v>
      </c>
      <c r="F453" s="13">
        <f t="shared" si="92"/>
        <v>3.163757522</v>
      </c>
      <c r="G453" s="12" t="s">
        <v>21</v>
      </c>
    </row>
    <row r="454" ht="15.75" customHeight="1">
      <c r="A454" s="12" t="s">
        <v>22</v>
      </c>
      <c r="B454" s="12" t="s">
        <v>23</v>
      </c>
      <c r="C454" s="13">
        <v>5.19</v>
      </c>
      <c r="D454" s="13">
        <v>88.48</v>
      </c>
      <c r="E454" s="13">
        <f t="shared" si="91"/>
        <v>5.194934189</v>
      </c>
      <c r="F454" s="13">
        <f t="shared" si="92"/>
        <v>15.58480257</v>
      </c>
      <c r="G454" s="12" t="s">
        <v>21</v>
      </c>
    </row>
    <row r="455" ht="15.75" customHeight="1">
      <c r="A455" s="12" t="s">
        <v>24</v>
      </c>
      <c r="B455" s="12" t="s">
        <v>26</v>
      </c>
      <c r="C455" s="13">
        <v>1.53</v>
      </c>
      <c r="D455" s="13">
        <v>99.89</v>
      </c>
      <c r="E455" s="13">
        <f t="shared" si="91"/>
        <v>1.356523194</v>
      </c>
      <c r="F455" s="13">
        <f t="shared" si="92"/>
        <v>4.069569583</v>
      </c>
      <c r="G455" s="12" t="s">
        <v>21</v>
      </c>
    </row>
    <row r="456" ht="15.75" customHeight="1">
      <c r="A456" s="12" t="s">
        <v>164</v>
      </c>
      <c r="B456" s="12" t="s">
        <v>165</v>
      </c>
      <c r="C456" s="13">
        <v>1.0</v>
      </c>
      <c r="D456" s="13">
        <v>99.02</v>
      </c>
      <c r="E456" s="13">
        <f t="shared" si="91"/>
        <v>0.8944063713</v>
      </c>
      <c r="F456" s="13">
        <f t="shared" si="92"/>
        <v>2.683219114</v>
      </c>
      <c r="G456" s="12" t="s">
        <v>21</v>
      </c>
    </row>
    <row r="457" ht="15.75" customHeight="1">
      <c r="A457" s="14" t="s">
        <v>164</v>
      </c>
      <c r="B457" s="14" t="s">
        <v>274</v>
      </c>
      <c r="C457" s="15">
        <v>0.5</v>
      </c>
      <c r="D457" s="15">
        <v>99.05</v>
      </c>
      <c r="E457" s="15">
        <f t="shared" si="91"/>
        <v>0.4470677379</v>
      </c>
      <c r="F457" s="15">
        <f t="shared" si="92"/>
        <v>1.341203214</v>
      </c>
      <c r="G457" s="14" t="s">
        <v>21</v>
      </c>
    </row>
    <row r="458" ht="15.75" customHeight="1">
      <c r="A458" s="16" t="s">
        <v>27</v>
      </c>
      <c r="B458" s="17"/>
      <c r="C458" s="18">
        <f>SUM(C450:C457)</f>
        <v>100</v>
      </c>
      <c r="D458" s="18"/>
      <c r="E458" s="18">
        <f t="shared" ref="E458:F458" si="93">SUM(E450:E457)</f>
        <v>100</v>
      </c>
      <c r="F458" s="18">
        <f t="shared" si="93"/>
        <v>300</v>
      </c>
      <c r="G458" s="16"/>
    </row>
    <row r="459" ht="15.75" customHeight="1">
      <c r="A459" s="19" t="s">
        <v>33</v>
      </c>
      <c r="B459" s="20">
        <v>11.686710999999999</v>
      </c>
      <c r="C459" s="19" t="s">
        <v>35</v>
      </c>
      <c r="D459" s="20">
        <v>80.70771699999999</v>
      </c>
      <c r="E459" s="19" t="s">
        <v>36</v>
      </c>
      <c r="F459" s="20">
        <v>16.266151</v>
      </c>
      <c r="G459" s="19"/>
    </row>
    <row r="460" ht="15.75" customHeight="1">
      <c r="A460" s="19" t="s">
        <v>37</v>
      </c>
      <c r="B460" s="20">
        <v>0.6495530000000002</v>
      </c>
      <c r="C460" s="19" t="s">
        <v>38</v>
      </c>
      <c r="D460" s="20">
        <v>0.276157</v>
      </c>
      <c r="E460" s="19" t="s">
        <v>39</v>
      </c>
      <c r="F460" s="20">
        <v>2.3521149201360103</v>
      </c>
      <c r="G460" s="19"/>
    </row>
    <row r="461" ht="15.75" customHeight="1">
      <c r="A461" s="19" t="s">
        <v>40</v>
      </c>
      <c r="B461" s="20">
        <v>3.9571699999999996</v>
      </c>
      <c r="C461" s="19" t="s">
        <v>41</v>
      </c>
      <c r="D461" s="20">
        <v>0.0</v>
      </c>
      <c r="E461" s="19" t="s">
        <v>42</v>
      </c>
      <c r="F461" s="20">
        <v>2.0</v>
      </c>
      <c r="G461" s="19"/>
    </row>
    <row r="462" ht="15.75" customHeight="1">
      <c r="A462" s="21" t="s">
        <v>346</v>
      </c>
    </row>
    <row r="463" ht="30.0" customHeight="1">
      <c r="A463" s="22" t="s">
        <v>348</v>
      </c>
      <c r="B463" s="23"/>
      <c r="C463" s="23"/>
      <c r="D463" s="23"/>
      <c r="E463" s="23"/>
      <c r="F463" s="23"/>
      <c r="G463" s="24"/>
    </row>
    <row r="464" ht="15.75" customHeight="1"/>
    <row r="465" ht="22.5" customHeight="1">
      <c r="A465" s="3" t="s">
        <v>349</v>
      </c>
    </row>
    <row r="466" ht="15.75" customHeight="1">
      <c r="A466" s="5" t="s">
        <v>350</v>
      </c>
      <c r="B466" s="6"/>
      <c r="C466" s="6"/>
      <c r="D466" s="6"/>
      <c r="E466" s="6"/>
      <c r="F466" s="6"/>
      <c r="G466" s="7"/>
    </row>
    <row r="467" ht="30.0" customHeight="1">
      <c r="A467" s="8" t="s">
        <v>9</v>
      </c>
      <c r="B467" s="8" t="s">
        <v>10</v>
      </c>
      <c r="C467" s="8" t="s">
        <v>11</v>
      </c>
      <c r="D467" s="8" t="s">
        <v>12</v>
      </c>
      <c r="E467" s="8" t="s">
        <v>13</v>
      </c>
      <c r="F467" s="8" t="s">
        <v>14</v>
      </c>
      <c r="G467" s="8" t="s">
        <v>15</v>
      </c>
    </row>
    <row r="468" ht="15.75" customHeight="1">
      <c r="A468" s="10" t="s">
        <v>16</v>
      </c>
      <c r="B468" s="10" t="s">
        <v>19</v>
      </c>
      <c r="C468" s="11">
        <v>34.18</v>
      </c>
      <c r="D468" s="11">
        <v>87.78</v>
      </c>
      <c r="E468" s="11">
        <f t="shared" ref="E468:E475" si="94">IF(D468&gt;0,(C468/D468)/SUMPRODUCT($C$468:$C$475/$D$468:$D$475)*100,"")</f>
        <v>34.55086168</v>
      </c>
      <c r="F468" s="11">
        <f t="shared" ref="F468:F475" si="95">IF(E468&lt;&gt;"",E468*3,"")</f>
        <v>103.652585</v>
      </c>
      <c r="G468" s="10" t="s">
        <v>21</v>
      </c>
    </row>
    <row r="469" ht="15.75" customHeight="1">
      <c r="A469" s="12" t="s">
        <v>16</v>
      </c>
      <c r="B469" s="12" t="s">
        <v>52</v>
      </c>
      <c r="C469" s="13">
        <v>30.45</v>
      </c>
      <c r="D469" s="13">
        <v>90.57</v>
      </c>
      <c r="E469" s="13">
        <f t="shared" si="94"/>
        <v>29.83220332</v>
      </c>
      <c r="F469" s="13">
        <f t="shared" si="95"/>
        <v>89.49660996</v>
      </c>
      <c r="G469" s="12" t="s">
        <v>21</v>
      </c>
    </row>
    <row r="470" ht="15.75" customHeight="1">
      <c r="A470" s="12" t="s">
        <v>16</v>
      </c>
      <c r="B470" s="12" t="s">
        <v>271</v>
      </c>
      <c r="C470" s="13">
        <v>20.62</v>
      </c>
      <c r="D470" s="13">
        <v>88.26</v>
      </c>
      <c r="E470" s="13">
        <f t="shared" si="94"/>
        <v>20.73037407</v>
      </c>
      <c r="F470" s="13">
        <f t="shared" si="95"/>
        <v>62.19112222</v>
      </c>
      <c r="G470" s="12" t="s">
        <v>21</v>
      </c>
    </row>
    <row r="471" ht="15.75" customHeight="1">
      <c r="A471" s="12" t="s">
        <v>16</v>
      </c>
      <c r="B471" s="12" t="s">
        <v>272</v>
      </c>
      <c r="C471" s="13">
        <v>7.000000000000001</v>
      </c>
      <c r="D471" s="13">
        <v>83.98</v>
      </c>
      <c r="E471" s="13">
        <f t="shared" si="94"/>
        <v>7.396130591</v>
      </c>
      <c r="F471" s="13">
        <f t="shared" si="95"/>
        <v>22.18839177</v>
      </c>
      <c r="G471" s="12" t="s">
        <v>21</v>
      </c>
    </row>
    <row r="472" ht="15.75" customHeight="1">
      <c r="A472" s="12" t="s">
        <v>22</v>
      </c>
      <c r="B472" s="12" t="s">
        <v>23</v>
      </c>
      <c r="C472" s="13">
        <v>5.19</v>
      </c>
      <c r="D472" s="13">
        <v>88.48</v>
      </c>
      <c r="E472" s="13">
        <f t="shared" si="94"/>
        <v>5.204807179</v>
      </c>
      <c r="F472" s="13">
        <f t="shared" si="95"/>
        <v>15.61442154</v>
      </c>
      <c r="G472" s="12" t="s">
        <v>21</v>
      </c>
    </row>
    <row r="473" ht="15.75" customHeight="1">
      <c r="A473" s="12" t="s">
        <v>24</v>
      </c>
      <c r="B473" s="12" t="s">
        <v>26</v>
      </c>
      <c r="C473" s="13">
        <v>1.06</v>
      </c>
      <c r="D473" s="13">
        <v>99.89</v>
      </c>
      <c r="E473" s="13">
        <f t="shared" si="94"/>
        <v>0.9415995736</v>
      </c>
      <c r="F473" s="13">
        <f t="shared" si="95"/>
        <v>2.824798721</v>
      </c>
      <c r="G473" s="12" t="s">
        <v>21</v>
      </c>
    </row>
    <row r="474" ht="15.75" customHeight="1">
      <c r="A474" s="12" t="s">
        <v>164</v>
      </c>
      <c r="B474" s="12" t="s">
        <v>165</v>
      </c>
      <c r="C474" s="13">
        <v>1.0</v>
      </c>
      <c r="D474" s="13">
        <v>99.02</v>
      </c>
      <c r="E474" s="13">
        <f t="shared" si="94"/>
        <v>0.8961061936</v>
      </c>
      <c r="F474" s="13">
        <f t="shared" si="95"/>
        <v>2.688318581</v>
      </c>
      <c r="G474" s="12" t="s">
        <v>21</v>
      </c>
    </row>
    <row r="475" ht="15.75" customHeight="1">
      <c r="A475" s="14" t="s">
        <v>164</v>
      </c>
      <c r="B475" s="14" t="s">
        <v>274</v>
      </c>
      <c r="C475" s="15">
        <v>0.5</v>
      </c>
      <c r="D475" s="15">
        <v>99.05</v>
      </c>
      <c r="E475" s="15">
        <f t="shared" si="94"/>
        <v>0.4479173917</v>
      </c>
      <c r="F475" s="15">
        <f t="shared" si="95"/>
        <v>1.343752175</v>
      </c>
      <c r="G475" s="14" t="s">
        <v>21</v>
      </c>
    </row>
    <row r="476" ht="15.75" customHeight="1">
      <c r="A476" s="16" t="s">
        <v>27</v>
      </c>
      <c r="B476" s="17"/>
      <c r="C476" s="18">
        <f>SUM(C468:C475)</f>
        <v>100</v>
      </c>
      <c r="D476" s="18"/>
      <c r="E476" s="18">
        <f t="shared" ref="E476:F476" si="96">SUM(E468:E475)</f>
        <v>100</v>
      </c>
      <c r="F476" s="18">
        <f t="shared" si="96"/>
        <v>300</v>
      </c>
      <c r="G476" s="16"/>
    </row>
    <row r="477" ht="15.75" customHeight="1">
      <c r="A477" s="19" t="s">
        <v>33</v>
      </c>
      <c r="B477" s="20">
        <v>12.199109000000002</v>
      </c>
      <c r="C477" s="19" t="s">
        <v>35</v>
      </c>
      <c r="D477" s="20">
        <v>77.636581</v>
      </c>
      <c r="E477" s="19" t="s">
        <v>36</v>
      </c>
      <c r="F477" s="20">
        <v>18.130984</v>
      </c>
      <c r="G477" s="19"/>
    </row>
    <row r="478" ht="15.75" customHeight="1">
      <c r="A478" s="19" t="s">
        <v>37</v>
      </c>
      <c r="B478" s="20">
        <v>0.590124</v>
      </c>
      <c r="C478" s="19" t="s">
        <v>38</v>
      </c>
      <c r="D478" s="20">
        <v>0.28785</v>
      </c>
      <c r="E478" s="19" t="s">
        <v>39</v>
      </c>
      <c r="F478" s="20">
        <v>2.050109431995831</v>
      </c>
      <c r="G478" s="19"/>
    </row>
    <row r="479" ht="15.75" customHeight="1">
      <c r="A479" s="19" t="s">
        <v>40</v>
      </c>
      <c r="B479" s="20">
        <v>3.787186</v>
      </c>
      <c r="C479" s="19" t="s">
        <v>41</v>
      </c>
      <c r="D479" s="20">
        <v>0.0</v>
      </c>
      <c r="E479" s="19" t="s">
        <v>42</v>
      </c>
      <c r="F479" s="20">
        <v>1.0</v>
      </c>
      <c r="G479" s="19"/>
    </row>
    <row r="480" ht="15.75" customHeight="1">
      <c r="A480" s="21" t="s">
        <v>356</v>
      </c>
    </row>
    <row r="481" ht="30.0" customHeight="1">
      <c r="A481" s="22" t="s">
        <v>357</v>
      </c>
      <c r="B481" s="23"/>
      <c r="C481" s="23"/>
      <c r="D481" s="23"/>
      <c r="E481" s="23"/>
      <c r="F481" s="23"/>
      <c r="G481" s="24"/>
    </row>
    <row r="482" ht="15.75" customHeight="1"/>
    <row r="483" ht="22.5" customHeight="1">
      <c r="A483" s="3" t="s">
        <v>358</v>
      </c>
    </row>
    <row r="484" ht="15.75" customHeight="1">
      <c r="A484" s="5" t="s">
        <v>359</v>
      </c>
      <c r="B484" s="6"/>
      <c r="C484" s="6"/>
      <c r="D484" s="6"/>
      <c r="E484" s="6"/>
      <c r="F484" s="6"/>
      <c r="G484" s="7"/>
    </row>
    <row r="485" ht="30.0" customHeight="1">
      <c r="A485" s="8" t="s">
        <v>9</v>
      </c>
      <c r="B485" s="8" t="s">
        <v>10</v>
      </c>
      <c r="C485" s="8" t="s">
        <v>11</v>
      </c>
      <c r="D485" s="8" t="s">
        <v>12</v>
      </c>
      <c r="E485" s="8" t="s">
        <v>13</v>
      </c>
      <c r="F485" s="8" t="s">
        <v>14</v>
      </c>
      <c r="G485" s="8" t="s">
        <v>15</v>
      </c>
    </row>
    <row r="486" ht="15.75" customHeight="1">
      <c r="A486" s="10" t="s">
        <v>16</v>
      </c>
      <c r="B486" s="10" t="s">
        <v>19</v>
      </c>
      <c r="C486" s="11">
        <v>22.87</v>
      </c>
      <c r="D486" s="11">
        <v>87.78</v>
      </c>
      <c r="E486" s="11">
        <f t="shared" ref="E486:E493" si="97">IF(D486&gt;0,(C486/D486)/SUMPRODUCT($C$486:$C$493/$D$486:$D$493)*100,"")</f>
        <v>23.10183078</v>
      </c>
      <c r="F486" s="11">
        <f t="shared" ref="F486:F493" si="98">IF(E486&lt;&gt;"",E486*3,"")</f>
        <v>69.30549234</v>
      </c>
      <c r="G486" s="10" t="s">
        <v>21</v>
      </c>
    </row>
    <row r="487" ht="15.75" customHeight="1">
      <c r="A487" s="12" t="s">
        <v>16</v>
      </c>
      <c r="B487" s="12" t="s">
        <v>52</v>
      </c>
      <c r="C487" s="13">
        <v>23.04</v>
      </c>
      <c r="D487" s="13">
        <v>90.57</v>
      </c>
      <c r="E487" s="13">
        <f t="shared" si="97"/>
        <v>22.55661449</v>
      </c>
      <c r="F487" s="13">
        <f t="shared" si="98"/>
        <v>67.66984348</v>
      </c>
      <c r="G487" s="12" t="s">
        <v>21</v>
      </c>
    </row>
    <row r="488" ht="15.75" customHeight="1">
      <c r="A488" s="12" t="s">
        <v>16</v>
      </c>
      <c r="B488" s="12" t="s">
        <v>271</v>
      </c>
      <c r="C488" s="13">
        <v>22.87</v>
      </c>
      <c r="D488" s="13">
        <v>88.26</v>
      </c>
      <c r="E488" s="13">
        <f t="shared" si="97"/>
        <v>22.976192</v>
      </c>
      <c r="F488" s="13">
        <f t="shared" si="98"/>
        <v>68.928576</v>
      </c>
      <c r="G488" s="12" t="s">
        <v>21</v>
      </c>
    </row>
    <row r="489" ht="15.75" customHeight="1">
      <c r="A489" s="12" t="s">
        <v>16</v>
      </c>
      <c r="B489" s="12" t="s">
        <v>272</v>
      </c>
      <c r="C489" s="13">
        <v>7.000000000000001</v>
      </c>
      <c r="D489" s="13">
        <v>83.98</v>
      </c>
      <c r="E489" s="13">
        <f t="shared" si="97"/>
        <v>7.390911125</v>
      </c>
      <c r="F489" s="13">
        <f t="shared" si="98"/>
        <v>22.17273337</v>
      </c>
      <c r="G489" s="12" t="s">
        <v>21</v>
      </c>
    </row>
    <row r="490" ht="15.75" customHeight="1">
      <c r="A490" s="12" t="s">
        <v>22</v>
      </c>
      <c r="B490" s="12" t="s">
        <v>23</v>
      </c>
      <c r="C490" s="13">
        <v>21.52</v>
      </c>
      <c r="D490" s="13">
        <v>88.48</v>
      </c>
      <c r="E490" s="13">
        <f t="shared" si="97"/>
        <v>21.56616697</v>
      </c>
      <c r="F490" s="13">
        <f t="shared" si="98"/>
        <v>64.69850091</v>
      </c>
      <c r="G490" s="12" t="s">
        <v>21</v>
      </c>
    </row>
    <row r="491" ht="15.75" customHeight="1">
      <c r="A491" s="12" t="s">
        <v>24</v>
      </c>
      <c r="B491" s="12" t="s">
        <v>26</v>
      </c>
      <c r="C491" s="13">
        <v>1.2</v>
      </c>
      <c r="D491" s="13">
        <v>99.89</v>
      </c>
      <c r="E491" s="13">
        <f t="shared" si="97"/>
        <v>1.06520953</v>
      </c>
      <c r="F491" s="13">
        <f t="shared" si="98"/>
        <v>3.195628589</v>
      </c>
      <c r="G491" s="12" t="s">
        <v>21</v>
      </c>
    </row>
    <row r="492" ht="15.75" customHeight="1">
      <c r="A492" s="12" t="s">
        <v>164</v>
      </c>
      <c r="B492" s="12" t="s">
        <v>165</v>
      </c>
      <c r="C492" s="13">
        <v>1.0</v>
      </c>
      <c r="D492" s="13">
        <v>99.02</v>
      </c>
      <c r="E492" s="13">
        <f t="shared" si="97"/>
        <v>0.8954738094</v>
      </c>
      <c r="F492" s="13">
        <f t="shared" si="98"/>
        <v>2.686421428</v>
      </c>
      <c r="G492" s="12" t="s">
        <v>21</v>
      </c>
    </row>
    <row r="493" ht="15.75" customHeight="1">
      <c r="A493" s="14" t="s">
        <v>164</v>
      </c>
      <c r="B493" s="14" t="s">
        <v>274</v>
      </c>
      <c r="C493" s="15">
        <v>0.5</v>
      </c>
      <c r="D493" s="15">
        <v>99.05</v>
      </c>
      <c r="E493" s="15">
        <f t="shared" si="97"/>
        <v>0.4476012953</v>
      </c>
      <c r="F493" s="15">
        <f t="shared" si="98"/>
        <v>1.342803886</v>
      </c>
      <c r="G493" s="14" t="s">
        <v>21</v>
      </c>
    </row>
    <row r="494" ht="15.75" customHeight="1">
      <c r="A494" s="16" t="s">
        <v>27</v>
      </c>
      <c r="B494" s="17"/>
      <c r="C494" s="18">
        <f>SUM(C486:C493)</f>
        <v>100</v>
      </c>
      <c r="D494" s="18"/>
      <c r="E494" s="18">
        <f t="shared" ref="E494:F494" si="99">SUM(E486:E493)</f>
        <v>100</v>
      </c>
      <c r="F494" s="18">
        <f t="shared" si="99"/>
        <v>300</v>
      </c>
      <c r="G494" s="16"/>
    </row>
    <row r="495" ht="15.75" customHeight="1">
      <c r="A495" s="19" t="s">
        <v>33</v>
      </c>
      <c r="B495" s="20">
        <v>18.297696</v>
      </c>
      <c r="C495" s="19" t="s">
        <v>35</v>
      </c>
      <c r="D495" s="20">
        <v>77.287513</v>
      </c>
      <c r="E495" s="19" t="s">
        <v>36</v>
      </c>
      <c r="F495" s="20">
        <v>17.350142</v>
      </c>
      <c r="G495" s="19"/>
    </row>
    <row r="496" ht="15.75" customHeight="1">
      <c r="A496" s="19" t="s">
        <v>37</v>
      </c>
      <c r="B496" s="20">
        <v>0.6841770000000001</v>
      </c>
      <c r="C496" s="19" t="s">
        <v>38</v>
      </c>
      <c r="D496" s="20">
        <v>0.33303499999999997</v>
      </c>
      <c r="E496" s="19" t="s">
        <v>39</v>
      </c>
      <c r="F496" s="20">
        <v>2.0543696608464583</v>
      </c>
      <c r="G496" s="19"/>
    </row>
    <row r="497" ht="15.75" customHeight="1">
      <c r="A497" s="19" t="s">
        <v>40</v>
      </c>
      <c r="B497" s="20">
        <v>3.28667</v>
      </c>
      <c r="C497" s="19" t="s">
        <v>41</v>
      </c>
      <c r="D497" s="20">
        <v>0.0</v>
      </c>
      <c r="E497" s="19" t="s">
        <v>42</v>
      </c>
      <c r="F497" s="20">
        <v>2.0</v>
      </c>
      <c r="G497" s="19"/>
    </row>
    <row r="498" ht="15.75" customHeight="1">
      <c r="A498" s="21" t="s">
        <v>360</v>
      </c>
    </row>
    <row r="499" ht="30.0" customHeight="1">
      <c r="A499" s="22" t="s">
        <v>361</v>
      </c>
      <c r="B499" s="23"/>
      <c r="C499" s="23"/>
      <c r="D499" s="23"/>
      <c r="E499" s="23"/>
      <c r="F499" s="23"/>
      <c r="G499" s="24"/>
    </row>
    <row r="500" ht="15.75" customHeight="1"/>
    <row r="501" ht="22.5" customHeight="1">
      <c r="A501" s="3" t="s">
        <v>362</v>
      </c>
    </row>
    <row r="502" ht="15.75" customHeight="1">
      <c r="A502" s="5" t="s">
        <v>363</v>
      </c>
      <c r="B502" s="6"/>
      <c r="C502" s="6"/>
      <c r="D502" s="6"/>
      <c r="E502" s="6"/>
      <c r="F502" s="6"/>
      <c r="G502" s="7"/>
    </row>
    <row r="503" ht="30.0" customHeight="1">
      <c r="A503" s="8" t="s">
        <v>9</v>
      </c>
      <c r="B503" s="8" t="s">
        <v>10</v>
      </c>
      <c r="C503" s="8" t="s">
        <v>11</v>
      </c>
      <c r="D503" s="8" t="s">
        <v>12</v>
      </c>
      <c r="E503" s="8" t="s">
        <v>13</v>
      </c>
      <c r="F503" s="8" t="s">
        <v>14</v>
      </c>
      <c r="G503" s="8" t="s">
        <v>15</v>
      </c>
    </row>
    <row r="504" ht="15.75" customHeight="1">
      <c r="A504" s="10" t="s">
        <v>16</v>
      </c>
      <c r="B504" s="10" t="s">
        <v>19</v>
      </c>
      <c r="C504" s="11">
        <v>22.87</v>
      </c>
      <c r="D504" s="11">
        <v>87.78</v>
      </c>
      <c r="E504" s="11">
        <f t="shared" ref="E504:E511" si="100">IF(D504&gt;0,(C504/D504)/SUMPRODUCT($C$504:$C$511/$D$504:$D$511)*100,"")</f>
        <v>23.1008024</v>
      </c>
      <c r="F504" s="11">
        <f t="shared" ref="F504:F511" si="101">IF(E504&lt;&gt;"",E504*3,"")</f>
        <v>69.30240719</v>
      </c>
      <c r="G504" s="10" t="s">
        <v>21</v>
      </c>
    </row>
    <row r="505" ht="15.75" customHeight="1">
      <c r="A505" s="12" t="s">
        <v>16</v>
      </c>
      <c r="B505" s="12" t="s">
        <v>52</v>
      </c>
      <c r="C505" s="13">
        <v>22.6</v>
      </c>
      <c r="D505" s="13">
        <v>90.57</v>
      </c>
      <c r="E505" s="13">
        <f t="shared" si="100"/>
        <v>22.12486088</v>
      </c>
      <c r="F505" s="13">
        <f t="shared" si="101"/>
        <v>66.37458263</v>
      </c>
      <c r="G505" s="12" t="s">
        <v>21</v>
      </c>
    </row>
    <row r="506" ht="15.75" customHeight="1">
      <c r="A506" s="12" t="s">
        <v>16</v>
      </c>
      <c r="B506" s="12" t="s">
        <v>271</v>
      </c>
      <c r="C506" s="13">
        <v>22.87</v>
      </c>
      <c r="D506" s="13">
        <v>88.26</v>
      </c>
      <c r="E506" s="13">
        <f t="shared" si="100"/>
        <v>22.97516921</v>
      </c>
      <c r="F506" s="13">
        <f t="shared" si="101"/>
        <v>68.92550763</v>
      </c>
      <c r="G506" s="12" t="s">
        <v>21</v>
      </c>
    </row>
    <row r="507" ht="15.75" customHeight="1">
      <c r="A507" s="12" t="s">
        <v>16</v>
      </c>
      <c r="B507" s="12" t="s">
        <v>272</v>
      </c>
      <c r="C507" s="13">
        <v>7.000000000000001</v>
      </c>
      <c r="D507" s="13">
        <v>83.98</v>
      </c>
      <c r="E507" s="13">
        <f t="shared" si="100"/>
        <v>7.390582117</v>
      </c>
      <c r="F507" s="13">
        <f t="shared" si="101"/>
        <v>22.17174635</v>
      </c>
      <c r="G507" s="12" t="s">
        <v>21</v>
      </c>
    </row>
    <row r="508" ht="15.75" customHeight="1">
      <c r="A508" s="12" t="s">
        <v>22</v>
      </c>
      <c r="B508" s="12" t="s">
        <v>23</v>
      </c>
      <c r="C508" s="13">
        <v>21.91</v>
      </c>
      <c r="D508" s="13">
        <v>88.48</v>
      </c>
      <c r="E508" s="13">
        <f t="shared" si="100"/>
        <v>21.95602622</v>
      </c>
      <c r="F508" s="13">
        <f t="shared" si="101"/>
        <v>65.86807865</v>
      </c>
      <c r="G508" s="12" t="s">
        <v>21</v>
      </c>
    </row>
    <row r="509" ht="15.75" customHeight="1">
      <c r="A509" s="12" t="s">
        <v>24</v>
      </c>
      <c r="B509" s="12" t="s">
        <v>26</v>
      </c>
      <c r="C509" s="13">
        <v>1.25</v>
      </c>
      <c r="D509" s="13">
        <v>99.89</v>
      </c>
      <c r="E509" s="13">
        <f t="shared" si="100"/>
        <v>1.109543866</v>
      </c>
      <c r="F509" s="13">
        <f t="shared" si="101"/>
        <v>3.328631599</v>
      </c>
      <c r="G509" s="12" t="s">
        <v>21</v>
      </c>
    </row>
    <row r="510" ht="15.75" customHeight="1">
      <c r="A510" s="12" t="s">
        <v>164</v>
      </c>
      <c r="B510" s="12" t="s">
        <v>165</v>
      </c>
      <c r="C510" s="13">
        <v>1.0</v>
      </c>
      <c r="D510" s="13">
        <v>99.02</v>
      </c>
      <c r="E510" s="13">
        <f t="shared" si="100"/>
        <v>0.8954339472</v>
      </c>
      <c r="F510" s="13">
        <f t="shared" si="101"/>
        <v>2.686301842</v>
      </c>
      <c r="G510" s="12" t="s">
        <v>21</v>
      </c>
    </row>
    <row r="511" ht="15.75" customHeight="1">
      <c r="A511" s="14" t="s">
        <v>164</v>
      </c>
      <c r="B511" s="14" t="s">
        <v>274</v>
      </c>
      <c r="C511" s="15">
        <v>0.5</v>
      </c>
      <c r="D511" s="15">
        <v>99.05</v>
      </c>
      <c r="E511" s="15">
        <f t="shared" si="100"/>
        <v>0.4475813703</v>
      </c>
      <c r="F511" s="15">
        <f t="shared" si="101"/>
        <v>1.342744111</v>
      </c>
      <c r="G511" s="14" t="s">
        <v>21</v>
      </c>
    </row>
    <row r="512" ht="15.75" customHeight="1">
      <c r="A512" s="16" t="s">
        <v>27</v>
      </c>
      <c r="B512" s="17"/>
      <c r="C512" s="18">
        <f>SUM(C504:C511)</f>
        <v>100</v>
      </c>
      <c r="D512" s="18"/>
      <c r="E512" s="18">
        <f t="shared" ref="E512:F512" si="102">SUM(E504:E511)</f>
        <v>100</v>
      </c>
      <c r="F512" s="18">
        <f t="shared" si="102"/>
        <v>300</v>
      </c>
      <c r="G512" s="16"/>
    </row>
    <row r="513" ht="15.75" customHeight="1">
      <c r="A513" s="19" t="s">
        <v>33</v>
      </c>
      <c r="B513" s="20">
        <v>18.425336</v>
      </c>
      <c r="C513" s="19" t="s">
        <v>35</v>
      </c>
      <c r="D513" s="20">
        <v>77.271304</v>
      </c>
      <c r="E513" s="19" t="s">
        <v>36</v>
      </c>
      <c r="F513" s="20">
        <v>17.288249000000004</v>
      </c>
      <c r="G513" s="19"/>
    </row>
    <row r="514" ht="15.75" customHeight="1">
      <c r="A514" s="19" t="s">
        <v>37</v>
      </c>
      <c r="B514" s="20">
        <v>0.703567</v>
      </c>
      <c r="C514" s="19" t="s">
        <v>38</v>
      </c>
      <c r="D514" s="20">
        <v>0.333723</v>
      </c>
      <c r="E514" s="19" t="s">
        <v>39</v>
      </c>
      <c r="F514" s="20">
        <v>2.108236471564741</v>
      </c>
      <c r="G514" s="19"/>
    </row>
    <row r="515" ht="15.75" customHeight="1">
      <c r="A515" s="19" t="s">
        <v>40</v>
      </c>
      <c r="B515" s="20">
        <v>3.270923</v>
      </c>
      <c r="C515" s="19" t="s">
        <v>41</v>
      </c>
      <c r="D515" s="20">
        <v>0.0</v>
      </c>
      <c r="E515" s="19" t="s">
        <v>42</v>
      </c>
      <c r="F515" s="20">
        <v>2.0</v>
      </c>
      <c r="G515" s="19"/>
    </row>
    <row r="516" ht="15.75" customHeight="1">
      <c r="A516" s="21" t="s">
        <v>366</v>
      </c>
    </row>
    <row r="517" ht="30.0" customHeight="1">
      <c r="A517" s="22" t="s">
        <v>367</v>
      </c>
      <c r="B517" s="23"/>
      <c r="C517" s="23"/>
      <c r="D517" s="23"/>
      <c r="E517" s="23"/>
      <c r="F517" s="23"/>
      <c r="G517" s="24"/>
    </row>
    <row r="518" ht="15.75" customHeight="1"/>
    <row r="519" ht="22.5" customHeight="1">
      <c r="A519" s="3" t="s">
        <v>368</v>
      </c>
    </row>
    <row r="520" ht="15.75" customHeight="1">
      <c r="A520" s="5" t="s">
        <v>56</v>
      </c>
      <c r="B520" s="6"/>
      <c r="C520" s="6"/>
      <c r="D520" s="6"/>
      <c r="E520" s="6"/>
      <c r="F520" s="6"/>
      <c r="G520" s="7"/>
    </row>
    <row r="521" ht="30.0" customHeight="1">
      <c r="A521" s="8" t="s">
        <v>9</v>
      </c>
      <c r="B521" s="8" t="s">
        <v>10</v>
      </c>
      <c r="C521" s="8" t="s">
        <v>11</v>
      </c>
      <c r="D521" s="8" t="s">
        <v>12</v>
      </c>
      <c r="E521" s="8" t="s">
        <v>13</v>
      </c>
      <c r="F521" s="8" t="s">
        <v>14</v>
      </c>
      <c r="G521" s="8" t="s">
        <v>15</v>
      </c>
    </row>
    <row r="522" ht="15.75" customHeight="1">
      <c r="A522" s="10" t="s">
        <v>16</v>
      </c>
      <c r="B522" s="10" t="s">
        <v>19</v>
      </c>
      <c r="C522" s="11">
        <v>37.11</v>
      </c>
      <c r="D522" s="11">
        <v>87.78</v>
      </c>
      <c r="E522" s="11">
        <f t="shared" ref="E522:E529" si="103">IF(D522&gt;0,(C522/D522)/SUMPRODUCT($C$522:$C$529/$D$522:$D$529)*100,"")</f>
        <v>37.38436916</v>
      </c>
      <c r="F522" s="11">
        <f t="shared" ref="F522:F529" si="104">IF(E522&lt;&gt;"",E522*3,"")</f>
        <v>112.1531075</v>
      </c>
      <c r="G522" s="10" t="s">
        <v>21</v>
      </c>
    </row>
    <row r="523" ht="15.75" customHeight="1">
      <c r="A523" s="12" t="s">
        <v>16</v>
      </c>
      <c r="B523" s="12" t="s">
        <v>52</v>
      </c>
      <c r="C523" s="13">
        <v>7.780000000000001</v>
      </c>
      <c r="D523" s="13">
        <v>90.57</v>
      </c>
      <c r="E523" s="13">
        <f t="shared" si="103"/>
        <v>7.596086612</v>
      </c>
      <c r="F523" s="13">
        <f t="shared" si="104"/>
        <v>22.78825984</v>
      </c>
      <c r="G523" s="12" t="s">
        <v>21</v>
      </c>
    </row>
    <row r="524" ht="15.75" customHeight="1">
      <c r="A524" s="12" t="s">
        <v>16</v>
      </c>
      <c r="B524" s="12" t="s">
        <v>271</v>
      </c>
      <c r="C524" s="13">
        <v>8.22</v>
      </c>
      <c r="D524" s="13">
        <v>88.26</v>
      </c>
      <c r="E524" s="13">
        <f t="shared" si="103"/>
        <v>8.235738968</v>
      </c>
      <c r="F524" s="13">
        <f t="shared" si="104"/>
        <v>24.70721691</v>
      </c>
      <c r="G524" s="12" t="s">
        <v>21</v>
      </c>
    </row>
    <row r="525" ht="15.75" customHeight="1">
      <c r="A525" s="12" t="s">
        <v>16</v>
      </c>
      <c r="B525" s="12" t="s">
        <v>272</v>
      </c>
      <c r="C525" s="13">
        <v>5.0</v>
      </c>
      <c r="D525" s="13">
        <v>83.98</v>
      </c>
      <c r="E525" s="13">
        <f t="shared" si="103"/>
        <v>5.264884072</v>
      </c>
      <c r="F525" s="13">
        <f t="shared" si="104"/>
        <v>15.79465221</v>
      </c>
      <c r="G525" s="12" t="s">
        <v>21</v>
      </c>
    </row>
    <row r="526" ht="15.75" customHeight="1">
      <c r="A526" s="12" t="s">
        <v>22</v>
      </c>
      <c r="B526" s="12" t="s">
        <v>23</v>
      </c>
      <c r="C526" s="13">
        <v>38.75</v>
      </c>
      <c r="D526" s="13">
        <v>88.48</v>
      </c>
      <c r="E526" s="13">
        <f t="shared" si="103"/>
        <v>38.72766132</v>
      </c>
      <c r="F526" s="13">
        <f t="shared" si="104"/>
        <v>116.182984</v>
      </c>
      <c r="G526" s="12" t="s">
        <v>21</v>
      </c>
    </row>
    <row r="527" ht="15.75" customHeight="1">
      <c r="A527" s="12" t="s">
        <v>24</v>
      </c>
      <c r="B527" s="12" t="s">
        <v>26</v>
      </c>
      <c r="C527" s="13">
        <v>1.6399999999999997</v>
      </c>
      <c r="D527" s="13">
        <v>99.89</v>
      </c>
      <c r="E527" s="13">
        <f t="shared" si="103"/>
        <v>1.451832499</v>
      </c>
      <c r="F527" s="13">
        <f t="shared" si="104"/>
        <v>4.355497496</v>
      </c>
      <c r="G527" s="12" t="s">
        <v>21</v>
      </c>
    </row>
    <row r="528" ht="15.75" customHeight="1">
      <c r="A528" s="12" t="s">
        <v>164</v>
      </c>
      <c r="B528" s="12" t="s">
        <v>165</v>
      </c>
      <c r="C528" s="13">
        <v>1.0</v>
      </c>
      <c r="D528" s="13">
        <v>99.02</v>
      </c>
      <c r="E528" s="13">
        <f t="shared" si="103"/>
        <v>0.8930417377</v>
      </c>
      <c r="F528" s="13">
        <f t="shared" si="104"/>
        <v>2.679125213</v>
      </c>
      <c r="G528" s="12" t="s">
        <v>21</v>
      </c>
    </row>
    <row r="529" ht="15.75" customHeight="1">
      <c r="A529" s="14" t="s">
        <v>164</v>
      </c>
      <c r="B529" s="14" t="s">
        <v>274</v>
      </c>
      <c r="C529" s="15">
        <v>0.5</v>
      </c>
      <c r="D529" s="15">
        <v>99.05</v>
      </c>
      <c r="E529" s="15">
        <f t="shared" si="103"/>
        <v>0.4463856278</v>
      </c>
      <c r="F529" s="15">
        <f t="shared" si="104"/>
        <v>1.339156883</v>
      </c>
      <c r="G529" s="14" t="s">
        <v>21</v>
      </c>
    </row>
    <row r="530" ht="15.75" customHeight="1">
      <c r="A530" s="16" t="s">
        <v>27</v>
      </c>
      <c r="B530" s="17"/>
      <c r="C530" s="18">
        <f>SUM(C522:C529)</f>
        <v>100</v>
      </c>
      <c r="D530" s="18"/>
      <c r="E530" s="18">
        <f t="shared" ref="E530:F530" si="105">SUM(E522:E529)</f>
        <v>100</v>
      </c>
      <c r="F530" s="18">
        <f t="shared" si="105"/>
        <v>300</v>
      </c>
      <c r="G530" s="16"/>
    </row>
    <row r="531" ht="15.75" customHeight="1">
      <c r="A531" s="19" t="s">
        <v>33</v>
      </c>
      <c r="B531" s="20">
        <v>24.339388</v>
      </c>
      <c r="C531" s="19" t="s">
        <v>35</v>
      </c>
      <c r="D531" s="20">
        <v>79.02714000000002</v>
      </c>
      <c r="E531" s="19" t="s">
        <v>36</v>
      </c>
      <c r="F531" s="20">
        <v>15.171380000000001</v>
      </c>
      <c r="G531" s="19"/>
    </row>
    <row r="532" ht="15.75" customHeight="1">
      <c r="A532" s="19" t="s">
        <v>37</v>
      </c>
      <c r="B532" s="20">
        <v>0.8499499999999999</v>
      </c>
      <c r="C532" s="19" t="s">
        <v>38</v>
      </c>
      <c r="D532" s="20">
        <v>0.37006</v>
      </c>
      <c r="E532" s="19" t="s">
        <v>39</v>
      </c>
      <c r="F532" s="20">
        <v>2.2967897097767924</v>
      </c>
      <c r="G532" s="19"/>
    </row>
    <row r="533" ht="15.75" customHeight="1">
      <c r="A533" s="19" t="s">
        <v>40</v>
      </c>
      <c r="B533" s="20">
        <v>2.939749</v>
      </c>
      <c r="C533" s="19" t="s">
        <v>41</v>
      </c>
      <c r="D533" s="20">
        <v>0.0</v>
      </c>
      <c r="E533" s="19" t="s">
        <v>42</v>
      </c>
      <c r="F533" s="20">
        <v>2.0</v>
      </c>
      <c r="G533" s="19"/>
    </row>
    <row r="534" ht="15.75" customHeight="1">
      <c r="A534" s="21" t="s">
        <v>372</v>
      </c>
    </row>
    <row r="535" ht="30.0" customHeight="1">
      <c r="A535" s="22" t="s">
        <v>374</v>
      </c>
      <c r="B535" s="23"/>
      <c r="C535" s="23"/>
      <c r="D535" s="23"/>
      <c r="E535" s="23"/>
      <c r="F535" s="23"/>
      <c r="G535" s="24"/>
    </row>
    <row r="536" ht="15.75" customHeight="1"/>
    <row r="537" ht="22.5" customHeight="1">
      <c r="A537" s="3" t="s">
        <v>375</v>
      </c>
    </row>
    <row r="538" ht="15.75" customHeight="1">
      <c r="A538" s="5" t="s">
        <v>8</v>
      </c>
      <c r="B538" s="6"/>
      <c r="C538" s="6"/>
      <c r="D538" s="6"/>
      <c r="E538" s="6"/>
      <c r="F538" s="6"/>
      <c r="G538" s="7"/>
    </row>
    <row r="539" ht="30.0" customHeight="1">
      <c r="A539" s="8" t="s">
        <v>9</v>
      </c>
      <c r="B539" s="8" t="s">
        <v>10</v>
      </c>
      <c r="C539" s="8" t="s">
        <v>11</v>
      </c>
      <c r="D539" s="8" t="s">
        <v>12</v>
      </c>
      <c r="E539" s="8" t="s">
        <v>13</v>
      </c>
      <c r="F539" s="8" t="s">
        <v>14</v>
      </c>
      <c r="G539" s="8" t="s">
        <v>15</v>
      </c>
    </row>
    <row r="540" ht="15.75" customHeight="1">
      <c r="A540" s="10" t="s">
        <v>16</v>
      </c>
      <c r="B540" s="10" t="s">
        <v>19</v>
      </c>
      <c r="C540" s="11">
        <v>30.7</v>
      </c>
      <c r="D540" s="11">
        <v>87.78</v>
      </c>
      <c r="E540" s="11">
        <f t="shared" ref="E540:E547" si="106">IF(D540&gt;0,(C540/D540)/SUMPRODUCT($C$540:$C$547/$D$540:$D$547)*100,"")</f>
        <v>31.03903219</v>
      </c>
      <c r="F540" s="11">
        <f t="shared" ref="F540:F547" si="107">IF(E540&lt;&gt;"",E540*3,"")</f>
        <v>93.11709656</v>
      </c>
      <c r="G540" s="10" t="s">
        <v>21</v>
      </c>
    </row>
    <row r="541" ht="15.75" customHeight="1">
      <c r="A541" s="12" t="s">
        <v>16</v>
      </c>
      <c r="B541" s="12" t="s">
        <v>52</v>
      </c>
      <c r="C541" s="13">
        <v>22.67</v>
      </c>
      <c r="D541" s="13">
        <v>90.57</v>
      </c>
      <c r="E541" s="13">
        <f t="shared" si="106"/>
        <v>22.21429448</v>
      </c>
      <c r="F541" s="13">
        <f t="shared" si="107"/>
        <v>66.64288343</v>
      </c>
      <c r="G541" s="12" t="s">
        <v>21</v>
      </c>
    </row>
    <row r="542" ht="15.75" customHeight="1">
      <c r="A542" s="12" t="s">
        <v>16</v>
      </c>
      <c r="B542" s="12" t="s">
        <v>271</v>
      </c>
      <c r="C542" s="13">
        <v>16.16</v>
      </c>
      <c r="D542" s="13">
        <v>88.26</v>
      </c>
      <c r="E542" s="13">
        <f t="shared" si="106"/>
        <v>16.24960489</v>
      </c>
      <c r="F542" s="13">
        <f t="shared" si="107"/>
        <v>48.74881468</v>
      </c>
      <c r="G542" s="12" t="s">
        <v>21</v>
      </c>
    </row>
    <row r="543" ht="15.75" customHeight="1">
      <c r="A543" s="12" t="s">
        <v>16</v>
      </c>
      <c r="B543" s="12" t="s">
        <v>272</v>
      </c>
      <c r="C543" s="13">
        <v>5.0</v>
      </c>
      <c r="D543" s="13">
        <v>83.98</v>
      </c>
      <c r="E543" s="13">
        <f t="shared" si="106"/>
        <v>5.283959818</v>
      </c>
      <c r="F543" s="13">
        <f t="shared" si="107"/>
        <v>15.85187945</v>
      </c>
      <c r="G543" s="12" t="s">
        <v>21</v>
      </c>
    </row>
    <row r="544" ht="15.75" customHeight="1">
      <c r="A544" s="12" t="s">
        <v>22</v>
      </c>
      <c r="B544" s="12" t="s">
        <v>23</v>
      </c>
      <c r="C544" s="13">
        <v>22.45</v>
      </c>
      <c r="D544" s="13">
        <v>88.48</v>
      </c>
      <c r="E544" s="13">
        <f t="shared" si="106"/>
        <v>22.518352</v>
      </c>
      <c r="F544" s="13">
        <f t="shared" si="107"/>
        <v>67.55505601</v>
      </c>
      <c r="G544" s="12" t="s">
        <v>21</v>
      </c>
    </row>
    <row r="545" ht="15.75" customHeight="1">
      <c r="A545" s="12" t="s">
        <v>24</v>
      </c>
      <c r="B545" s="12" t="s">
        <v>26</v>
      </c>
      <c r="C545" s="13">
        <v>1.52</v>
      </c>
      <c r="D545" s="13">
        <v>99.89</v>
      </c>
      <c r="E545" s="13">
        <f t="shared" si="106"/>
        <v>1.350476238</v>
      </c>
      <c r="F545" s="13">
        <f t="shared" si="107"/>
        <v>4.051428714</v>
      </c>
      <c r="G545" s="12" t="s">
        <v>21</v>
      </c>
    </row>
    <row r="546" ht="15.75" customHeight="1">
      <c r="A546" s="12" t="s">
        <v>164</v>
      </c>
      <c r="B546" s="12" t="s">
        <v>165</v>
      </c>
      <c r="C546" s="13">
        <v>1.0</v>
      </c>
      <c r="D546" s="13">
        <v>99.02</v>
      </c>
      <c r="E546" s="13">
        <f t="shared" si="106"/>
        <v>0.8962774096</v>
      </c>
      <c r="F546" s="13">
        <f t="shared" si="107"/>
        <v>2.688832229</v>
      </c>
      <c r="G546" s="12" t="s">
        <v>21</v>
      </c>
    </row>
    <row r="547" ht="15.75" customHeight="1">
      <c r="A547" s="14" t="s">
        <v>164</v>
      </c>
      <c r="B547" s="14" t="s">
        <v>274</v>
      </c>
      <c r="C547" s="15">
        <v>0.5</v>
      </c>
      <c r="D547" s="15">
        <v>99.05</v>
      </c>
      <c r="E547" s="15">
        <f t="shared" si="106"/>
        <v>0.4480029737</v>
      </c>
      <c r="F547" s="15">
        <f t="shared" si="107"/>
        <v>1.344008921</v>
      </c>
      <c r="G547" s="14" t="s">
        <v>21</v>
      </c>
    </row>
    <row r="548" ht="15.75" customHeight="1">
      <c r="A548" s="16" t="s">
        <v>27</v>
      </c>
      <c r="B548" s="17"/>
      <c r="C548" s="18">
        <f>SUM(C540:C547)</f>
        <v>100</v>
      </c>
      <c r="D548" s="18"/>
      <c r="E548" s="18">
        <f t="shared" ref="E548:F548" si="108">SUM(E540:E547)</f>
        <v>100</v>
      </c>
      <c r="F548" s="18">
        <f t="shared" si="108"/>
        <v>300</v>
      </c>
      <c r="G548" s="16"/>
    </row>
    <row r="549" ht="15.75" customHeight="1">
      <c r="A549" s="19" t="s">
        <v>33</v>
      </c>
      <c r="B549" s="20">
        <v>18.694246999999997</v>
      </c>
      <c r="C549" s="19" t="s">
        <v>35</v>
      </c>
      <c r="D549" s="20">
        <v>77.81358299999998</v>
      </c>
      <c r="E549" s="19" t="s">
        <v>36</v>
      </c>
      <c r="F549" s="20">
        <v>17.237949999999998</v>
      </c>
      <c r="G549" s="19"/>
    </row>
    <row r="550" ht="15.75" customHeight="1">
      <c r="A550" s="19" t="s">
        <v>37</v>
      </c>
      <c r="B550" s="20">
        <v>0.77195</v>
      </c>
      <c r="C550" s="19" t="s">
        <v>38</v>
      </c>
      <c r="D550" s="20">
        <v>0.33546000000000004</v>
      </c>
      <c r="E550" s="19" t="s">
        <v>39</v>
      </c>
      <c r="F550" s="20">
        <v>2.30116854468491</v>
      </c>
      <c r="G550" s="19"/>
    </row>
    <row r="551" ht="15.75" customHeight="1">
      <c r="A551" s="19" t="s">
        <v>40</v>
      </c>
      <c r="B551" s="20">
        <v>3.3854419999999994</v>
      </c>
      <c r="C551" s="19" t="s">
        <v>41</v>
      </c>
      <c r="D551" s="20">
        <v>0.0</v>
      </c>
      <c r="E551" s="19" t="s">
        <v>42</v>
      </c>
      <c r="F551" s="20">
        <v>2.0</v>
      </c>
      <c r="G551" s="19"/>
    </row>
    <row r="552" ht="15.75" customHeight="1">
      <c r="A552" s="21" t="s">
        <v>381</v>
      </c>
    </row>
    <row r="553" ht="30.0" customHeight="1">
      <c r="A553" s="22" t="s">
        <v>382</v>
      </c>
      <c r="B553" s="23"/>
      <c r="C553" s="23"/>
      <c r="D553" s="23"/>
      <c r="E553" s="23"/>
      <c r="F553" s="23"/>
      <c r="G553" s="24"/>
    </row>
    <row r="554" ht="15.75" customHeight="1"/>
    <row r="555" ht="22.5" customHeight="1">
      <c r="A555" s="3" t="s">
        <v>383</v>
      </c>
    </row>
    <row r="556" ht="15.75" customHeight="1">
      <c r="A556" s="5" t="s">
        <v>363</v>
      </c>
      <c r="B556" s="6"/>
      <c r="C556" s="6"/>
      <c r="D556" s="6"/>
      <c r="E556" s="6"/>
      <c r="F556" s="6"/>
      <c r="G556" s="7"/>
    </row>
    <row r="557" ht="30.0" customHeight="1">
      <c r="A557" s="8" t="s">
        <v>9</v>
      </c>
      <c r="B557" s="8" t="s">
        <v>10</v>
      </c>
      <c r="C557" s="8" t="s">
        <v>11</v>
      </c>
      <c r="D557" s="8" t="s">
        <v>12</v>
      </c>
      <c r="E557" s="8" t="s">
        <v>13</v>
      </c>
      <c r="F557" s="8" t="s">
        <v>14</v>
      </c>
      <c r="G557" s="8" t="s">
        <v>15</v>
      </c>
    </row>
    <row r="558" ht="15.75" customHeight="1">
      <c r="A558" s="10" t="s">
        <v>16</v>
      </c>
      <c r="B558" s="10" t="s">
        <v>17</v>
      </c>
      <c r="C558" s="11">
        <v>13.459999999999999</v>
      </c>
      <c r="D558" s="11">
        <v>88.05</v>
      </c>
      <c r="E558" s="11">
        <f t="shared" ref="E558:E561" si="109">IF(D558&gt;0,(C558/D558)/SUMPRODUCT($C$558:$C$561/$D$558:$D$561)*100,"")</f>
        <v>13.47847481</v>
      </c>
      <c r="F558" s="11">
        <f t="shared" ref="F558:F561" si="110">IF(E558&lt;&gt;"",E558*3,"")</f>
        <v>40.43542443</v>
      </c>
      <c r="G558" s="10" t="s">
        <v>21</v>
      </c>
    </row>
    <row r="559" ht="15.75" customHeight="1">
      <c r="A559" s="12" t="s">
        <v>16</v>
      </c>
      <c r="B559" s="12" t="s">
        <v>19</v>
      </c>
      <c r="C559" s="13">
        <v>63.37000000000002</v>
      </c>
      <c r="D559" s="13">
        <v>87.78</v>
      </c>
      <c r="E559" s="13">
        <f t="shared" si="109"/>
        <v>63.65216536</v>
      </c>
      <c r="F559" s="13">
        <f t="shared" si="110"/>
        <v>190.9564961</v>
      </c>
      <c r="G559" s="12" t="s">
        <v>21</v>
      </c>
    </row>
    <row r="560" ht="15.75" customHeight="1">
      <c r="A560" s="12" t="s">
        <v>22</v>
      </c>
      <c r="B560" s="12" t="s">
        <v>23</v>
      </c>
      <c r="C560" s="13">
        <v>21.239999999999995</v>
      </c>
      <c r="D560" s="13">
        <v>88.48</v>
      </c>
      <c r="E560" s="13">
        <f t="shared" si="109"/>
        <v>21.16578841</v>
      </c>
      <c r="F560" s="13">
        <f t="shared" si="110"/>
        <v>63.49736522</v>
      </c>
      <c r="G560" s="12" t="s">
        <v>21</v>
      </c>
    </row>
    <row r="561" ht="15.75" customHeight="1">
      <c r="A561" s="14" t="s">
        <v>24</v>
      </c>
      <c r="B561" s="14" t="s">
        <v>26</v>
      </c>
      <c r="C561" s="15">
        <v>1.9299999999999997</v>
      </c>
      <c r="D561" s="15">
        <v>99.89</v>
      </c>
      <c r="E561" s="15">
        <f t="shared" si="109"/>
        <v>1.703571428</v>
      </c>
      <c r="F561" s="15">
        <f t="shared" si="110"/>
        <v>5.110714284</v>
      </c>
      <c r="G561" s="14" t="s">
        <v>21</v>
      </c>
    </row>
    <row r="562" ht="15.75" customHeight="1">
      <c r="A562" s="16" t="s">
        <v>27</v>
      </c>
      <c r="B562" s="17"/>
      <c r="C562" s="18">
        <f>SUM(C558:C561)</f>
        <v>100</v>
      </c>
      <c r="D562" s="18"/>
      <c r="E562" s="18">
        <f t="shared" ref="E562:F562" si="111">SUM(E558:E561)</f>
        <v>100</v>
      </c>
      <c r="F562" s="18">
        <f t="shared" si="111"/>
        <v>300</v>
      </c>
      <c r="G562" s="16"/>
    </row>
    <row r="563" ht="15.75" customHeight="1">
      <c r="A563" s="19" t="s">
        <v>33</v>
      </c>
      <c r="B563" s="20">
        <v>18.427646</v>
      </c>
      <c r="C563" s="19" t="s">
        <v>35</v>
      </c>
      <c r="D563" s="20">
        <v>81.267973</v>
      </c>
      <c r="E563" s="19" t="s">
        <v>36</v>
      </c>
      <c r="F563" s="20">
        <v>18.300547</v>
      </c>
      <c r="G563" s="19"/>
    </row>
    <row r="564" ht="15.75" customHeight="1">
      <c r="A564" s="19" t="s">
        <v>37</v>
      </c>
      <c r="B564" s="20">
        <v>0.8355319999999999</v>
      </c>
      <c r="C564" s="19" t="s">
        <v>38</v>
      </c>
      <c r="D564" s="20">
        <v>0.407556</v>
      </c>
      <c r="E564" s="19" t="s">
        <v>39</v>
      </c>
      <c r="F564" s="20">
        <v>2.050103544052842</v>
      </c>
      <c r="G564" s="19"/>
    </row>
    <row r="565" ht="15.75" customHeight="1">
      <c r="A565" s="19" t="s">
        <v>40</v>
      </c>
      <c r="B565" s="20">
        <v>3.502434</v>
      </c>
      <c r="C565" s="19" t="s">
        <v>41</v>
      </c>
      <c r="D565" s="20">
        <v>0.0</v>
      </c>
      <c r="E565" s="19" t="s">
        <v>42</v>
      </c>
      <c r="F565" s="20">
        <v>2.0</v>
      </c>
      <c r="G565" s="19"/>
    </row>
    <row r="566" ht="15.75" customHeight="1">
      <c r="A566" s="21" t="s">
        <v>388</v>
      </c>
    </row>
    <row r="567" ht="30.0" customHeight="1">
      <c r="A567" s="22" t="s">
        <v>389</v>
      </c>
      <c r="B567" s="23"/>
      <c r="C567" s="23"/>
      <c r="D567" s="23"/>
      <c r="E567" s="23"/>
      <c r="F567" s="23"/>
      <c r="G567" s="24"/>
    </row>
    <row r="568" ht="15.75" customHeight="1"/>
    <row r="569" ht="22.5" customHeight="1">
      <c r="A569" s="3" t="s">
        <v>390</v>
      </c>
    </row>
    <row r="570" ht="15.75" customHeight="1">
      <c r="A570" s="5" t="s">
        <v>391</v>
      </c>
      <c r="B570" s="6"/>
      <c r="C570" s="6"/>
      <c r="D570" s="6"/>
      <c r="E570" s="6"/>
      <c r="F570" s="6"/>
      <c r="G570" s="7"/>
    </row>
    <row r="571" ht="30.0" customHeight="1">
      <c r="A571" s="8" t="s">
        <v>9</v>
      </c>
      <c r="B571" s="8" t="s">
        <v>10</v>
      </c>
      <c r="C571" s="8" t="s">
        <v>11</v>
      </c>
      <c r="D571" s="8" t="s">
        <v>12</v>
      </c>
      <c r="E571" s="8" t="s">
        <v>13</v>
      </c>
      <c r="F571" s="8" t="s">
        <v>14</v>
      </c>
      <c r="G571" s="8" t="s">
        <v>15</v>
      </c>
    </row>
    <row r="572" ht="15.75" customHeight="1">
      <c r="A572" s="10" t="s">
        <v>16</v>
      </c>
      <c r="B572" s="10" t="s">
        <v>17</v>
      </c>
      <c r="C572" s="11">
        <v>23.749999999999996</v>
      </c>
      <c r="D572" s="11">
        <v>88.05</v>
      </c>
      <c r="E572" s="11">
        <f t="shared" ref="E572:E575" si="112">IF(D572&gt;0,(C572/D572)/SUMPRODUCT($C$572:$C$575/$D$572:$D$575)*100,"")</f>
        <v>23.76265768</v>
      </c>
      <c r="F572" s="11">
        <f t="shared" ref="F572:F575" si="113">IF(E572&lt;&gt;"",E572*3,"")</f>
        <v>71.28797304</v>
      </c>
      <c r="G572" s="10" t="s">
        <v>21</v>
      </c>
    </row>
    <row r="573" ht="15.75" customHeight="1">
      <c r="A573" s="12" t="s">
        <v>16</v>
      </c>
      <c r="B573" s="12" t="s">
        <v>19</v>
      </c>
      <c r="C573" s="13">
        <v>70.35000000000001</v>
      </c>
      <c r="D573" s="13">
        <v>87.78</v>
      </c>
      <c r="E573" s="13">
        <f t="shared" si="112"/>
        <v>70.60399627</v>
      </c>
      <c r="F573" s="13">
        <f t="shared" si="113"/>
        <v>211.8119888</v>
      </c>
      <c r="G573" s="12" t="s">
        <v>21</v>
      </c>
    </row>
    <row r="574" ht="15.75" customHeight="1">
      <c r="A574" s="12" t="s">
        <v>22</v>
      </c>
      <c r="B574" s="12" t="s">
        <v>23</v>
      </c>
      <c r="C574" s="13">
        <v>3.7800000000000002</v>
      </c>
      <c r="D574" s="13">
        <v>88.48</v>
      </c>
      <c r="E574" s="13">
        <f t="shared" si="112"/>
        <v>3.763634526</v>
      </c>
      <c r="F574" s="13">
        <f t="shared" si="113"/>
        <v>11.29090358</v>
      </c>
      <c r="G574" s="12" t="s">
        <v>21</v>
      </c>
    </row>
    <row r="575" ht="15.75" customHeight="1">
      <c r="A575" s="14" t="s">
        <v>24</v>
      </c>
      <c r="B575" s="14" t="s">
        <v>26</v>
      </c>
      <c r="C575" s="15">
        <v>2.12</v>
      </c>
      <c r="D575" s="15">
        <v>99.89</v>
      </c>
      <c r="E575" s="15">
        <f t="shared" si="112"/>
        <v>1.869711528</v>
      </c>
      <c r="F575" s="15">
        <f t="shared" si="113"/>
        <v>5.609134585</v>
      </c>
      <c r="G575" s="14" t="s">
        <v>21</v>
      </c>
    </row>
    <row r="576" ht="15.75" customHeight="1">
      <c r="A576" s="16" t="s">
        <v>27</v>
      </c>
      <c r="B576" s="17"/>
      <c r="C576" s="18">
        <f>SUM(C572:C575)</f>
        <v>100</v>
      </c>
      <c r="D576" s="18"/>
      <c r="E576" s="18">
        <f t="shared" ref="E576:F576" si="114">SUM(E572:E575)</f>
        <v>100</v>
      </c>
      <c r="F576" s="18">
        <f t="shared" si="114"/>
        <v>300</v>
      </c>
      <c r="G576" s="16"/>
    </row>
    <row r="577" ht="15.75" customHeight="1">
      <c r="A577" s="19" t="s">
        <v>33</v>
      </c>
      <c r="B577" s="20">
        <v>12.310978</v>
      </c>
      <c r="C577" s="19" t="s">
        <v>35</v>
      </c>
      <c r="D577" s="20">
        <v>80.51932400000001</v>
      </c>
      <c r="E577" s="19" t="s">
        <v>36</v>
      </c>
      <c r="F577" s="20">
        <v>21.144851</v>
      </c>
      <c r="G577" s="19"/>
    </row>
    <row r="578" ht="15.75" customHeight="1">
      <c r="A578" s="19" t="s">
        <v>37</v>
      </c>
      <c r="B578" s="20">
        <v>0.870524</v>
      </c>
      <c r="C578" s="19" t="s">
        <v>38</v>
      </c>
      <c r="D578" s="20">
        <v>0.42325799999999997</v>
      </c>
      <c r="E578" s="19" t="s">
        <v>39</v>
      </c>
      <c r="F578" s="20">
        <v>2.056721904842909</v>
      </c>
      <c r="G578" s="19"/>
    </row>
    <row r="579" ht="15.75" customHeight="1">
      <c r="A579" s="19" t="s">
        <v>40</v>
      </c>
      <c r="B579" s="20">
        <v>3.85703</v>
      </c>
      <c r="C579" s="19" t="s">
        <v>41</v>
      </c>
      <c r="D579" s="20">
        <v>0.0</v>
      </c>
      <c r="E579" s="19" t="s">
        <v>42</v>
      </c>
      <c r="F579" s="20">
        <v>1.0</v>
      </c>
      <c r="G579" s="19"/>
    </row>
    <row r="580" ht="15.75" customHeight="1">
      <c r="A580" s="21" t="s">
        <v>395</v>
      </c>
    </row>
    <row r="581" ht="30.0" customHeight="1">
      <c r="A581" s="22" t="s">
        <v>396</v>
      </c>
      <c r="B581" s="23"/>
      <c r="C581" s="23"/>
      <c r="D581" s="23"/>
      <c r="E581" s="23"/>
      <c r="F581" s="23"/>
      <c r="G581" s="24"/>
    </row>
    <row r="582" ht="15.75" customHeight="1"/>
    <row r="583" ht="22.5" customHeight="1">
      <c r="A583" s="3" t="s">
        <v>397</v>
      </c>
    </row>
    <row r="584" ht="15.75" customHeight="1">
      <c r="A584" s="5" t="s">
        <v>398</v>
      </c>
      <c r="B584" s="6"/>
      <c r="C584" s="6"/>
      <c r="D584" s="6"/>
      <c r="E584" s="6"/>
      <c r="F584" s="6"/>
      <c r="G584" s="7"/>
    </row>
    <row r="585" ht="30.0" customHeight="1">
      <c r="A585" s="8" t="s">
        <v>9</v>
      </c>
      <c r="B585" s="8" t="s">
        <v>10</v>
      </c>
      <c r="C585" s="8" t="s">
        <v>11</v>
      </c>
      <c r="D585" s="8" t="s">
        <v>12</v>
      </c>
      <c r="E585" s="8" t="s">
        <v>13</v>
      </c>
      <c r="F585" s="8" t="s">
        <v>14</v>
      </c>
      <c r="G585" s="8" t="s">
        <v>15</v>
      </c>
    </row>
    <row r="586" ht="15.75" customHeight="1">
      <c r="A586" s="10" t="s">
        <v>16</v>
      </c>
      <c r="B586" s="10" t="s">
        <v>17</v>
      </c>
      <c r="C586" s="11">
        <v>24.309999999999995</v>
      </c>
      <c r="D586" s="11">
        <v>88.05</v>
      </c>
      <c r="E586" s="11">
        <f t="shared" ref="E586:E589" si="115">IF(D586&gt;0,(C586/D586)/SUMPRODUCT($C$586:$C$589/$D$586:$D$589)*100,"")</f>
        <v>24.34606554</v>
      </c>
      <c r="F586" s="11">
        <f t="shared" ref="F586:F589" si="116">IF(E586&lt;&gt;"",E586*3,"")</f>
        <v>73.03819663</v>
      </c>
      <c r="G586" s="10" t="s">
        <v>21</v>
      </c>
    </row>
    <row r="587" ht="15.75" customHeight="1">
      <c r="A587" s="12" t="s">
        <v>16</v>
      </c>
      <c r="B587" s="12" t="s">
        <v>19</v>
      </c>
      <c r="C587" s="13">
        <v>61.49000000000001</v>
      </c>
      <c r="D587" s="13">
        <v>87.78</v>
      </c>
      <c r="E587" s="13">
        <f t="shared" si="115"/>
        <v>61.77064055</v>
      </c>
      <c r="F587" s="13">
        <f t="shared" si="116"/>
        <v>185.3119216</v>
      </c>
      <c r="G587" s="12" t="s">
        <v>21</v>
      </c>
    </row>
    <row r="588" ht="15.75" customHeight="1">
      <c r="A588" s="12" t="s">
        <v>22</v>
      </c>
      <c r="B588" s="12" t="s">
        <v>23</v>
      </c>
      <c r="C588" s="13">
        <v>11.84</v>
      </c>
      <c r="D588" s="13">
        <v>88.48</v>
      </c>
      <c r="E588" s="13">
        <f t="shared" si="115"/>
        <v>11.7999394</v>
      </c>
      <c r="F588" s="13">
        <f t="shared" si="116"/>
        <v>35.39981819</v>
      </c>
      <c r="G588" s="12" t="s">
        <v>21</v>
      </c>
    </row>
    <row r="589" ht="15.75" customHeight="1">
      <c r="A589" s="14" t="s">
        <v>24</v>
      </c>
      <c r="B589" s="14" t="s">
        <v>26</v>
      </c>
      <c r="C589" s="15">
        <v>2.3599999999999994</v>
      </c>
      <c r="D589" s="15">
        <v>99.89</v>
      </c>
      <c r="E589" s="15">
        <f t="shared" si="115"/>
        <v>2.083354515</v>
      </c>
      <c r="F589" s="15">
        <f t="shared" si="116"/>
        <v>6.250063545</v>
      </c>
      <c r="G589" s="14" t="s">
        <v>21</v>
      </c>
    </row>
    <row r="590" ht="15.75" customHeight="1">
      <c r="A590" s="16" t="s">
        <v>27</v>
      </c>
      <c r="B590" s="17"/>
      <c r="C590" s="18">
        <f>SUM(C586:C589)</f>
        <v>100</v>
      </c>
      <c r="D590" s="18"/>
      <c r="E590" s="18">
        <f t="shared" ref="E590:F590" si="117">SUM(E586:E589)</f>
        <v>100</v>
      </c>
      <c r="F590" s="18">
        <f t="shared" si="117"/>
        <v>300</v>
      </c>
      <c r="G590" s="16"/>
    </row>
    <row r="591" ht="15.75" customHeight="1">
      <c r="A591" s="19" t="s">
        <v>33</v>
      </c>
      <c r="B591" s="20">
        <v>15.530645999999997</v>
      </c>
      <c r="C591" s="19" t="s">
        <v>35</v>
      </c>
      <c r="D591" s="20">
        <v>79.80346400000002</v>
      </c>
      <c r="E591" s="19" t="s">
        <v>36</v>
      </c>
      <c r="F591" s="20">
        <v>21.354895</v>
      </c>
      <c r="G591" s="19"/>
    </row>
    <row r="592" ht="15.75" customHeight="1">
      <c r="A592" s="19" t="s">
        <v>37</v>
      </c>
      <c r="B592" s="20">
        <v>0.9851679999999999</v>
      </c>
      <c r="C592" s="19" t="s">
        <v>38</v>
      </c>
      <c r="D592" s="20">
        <v>0.45239399999999996</v>
      </c>
      <c r="E592" s="19" t="s">
        <v>39</v>
      </c>
      <c r="F592" s="20">
        <v>2.177676980684978</v>
      </c>
      <c r="G592" s="19"/>
    </row>
    <row r="593" ht="15.75" customHeight="1">
      <c r="A593" s="19" t="s">
        <v>40</v>
      </c>
      <c r="B593" s="20">
        <v>3.6477799999999996</v>
      </c>
      <c r="C593" s="19" t="s">
        <v>41</v>
      </c>
      <c r="D593" s="20">
        <v>0.0</v>
      </c>
      <c r="E593" s="19" t="s">
        <v>42</v>
      </c>
      <c r="F593" s="20">
        <v>0.0</v>
      </c>
      <c r="G593" s="19"/>
    </row>
    <row r="594" ht="15.75" customHeight="1">
      <c r="A594" s="21" t="s">
        <v>403</v>
      </c>
    </row>
    <row r="595" ht="30.0" customHeight="1">
      <c r="A595" s="26" t="s">
        <v>51</v>
      </c>
      <c r="B595" s="23"/>
      <c r="C595" s="23"/>
      <c r="D595" s="23"/>
      <c r="E595" s="23"/>
      <c r="F595" s="23"/>
      <c r="G595" s="24"/>
    </row>
    <row r="596" ht="15.75" customHeight="1"/>
    <row r="597" ht="22.5" customHeight="1">
      <c r="A597" s="3" t="s">
        <v>404</v>
      </c>
    </row>
    <row r="598" ht="15.75" customHeight="1">
      <c r="A598" s="5" t="s">
        <v>405</v>
      </c>
      <c r="B598" s="6"/>
      <c r="C598" s="6"/>
      <c r="D598" s="6"/>
      <c r="E598" s="6"/>
      <c r="F598" s="6"/>
      <c r="G598" s="7"/>
    </row>
    <row r="599" ht="30.0" customHeight="1">
      <c r="A599" s="8" t="s">
        <v>9</v>
      </c>
      <c r="B599" s="8" t="s">
        <v>10</v>
      </c>
      <c r="C599" s="8" t="s">
        <v>11</v>
      </c>
      <c r="D599" s="8" t="s">
        <v>12</v>
      </c>
      <c r="E599" s="8" t="s">
        <v>13</v>
      </c>
      <c r="F599" s="8" t="s">
        <v>14</v>
      </c>
      <c r="G599" s="8" t="s">
        <v>15</v>
      </c>
    </row>
    <row r="600" ht="15.75" customHeight="1">
      <c r="A600" s="10" t="s">
        <v>16</v>
      </c>
      <c r="B600" s="10" t="s">
        <v>17</v>
      </c>
      <c r="C600" s="11">
        <v>20.102065747470903</v>
      </c>
      <c r="D600" s="11">
        <v>88.05</v>
      </c>
      <c r="E600" s="11">
        <f t="shared" ref="E600:E603" si="118">IF(D600&gt;0,(C600/D600)/SUMPRODUCT($C$600:$C$603/$D$600:$D$603)*100,"")</f>
        <v>20.11973343</v>
      </c>
      <c r="F600" s="11">
        <f t="shared" ref="F600:F603" si="119">IF(E600&lt;&gt;"",E600*3,"")</f>
        <v>60.3592003</v>
      </c>
      <c r="G600" s="10" t="s">
        <v>21</v>
      </c>
    </row>
    <row r="601" ht="15.75" customHeight="1">
      <c r="A601" s="12" t="s">
        <v>16</v>
      </c>
      <c r="B601" s="12" t="s">
        <v>19</v>
      </c>
      <c r="C601" s="13">
        <v>67.9980573082066</v>
      </c>
      <c r="D601" s="13">
        <v>87.78</v>
      </c>
      <c r="E601" s="13">
        <f t="shared" si="118"/>
        <v>68.26715785</v>
      </c>
      <c r="F601" s="13">
        <f t="shared" si="119"/>
        <v>204.8014735</v>
      </c>
      <c r="G601" s="12" t="s">
        <v>21</v>
      </c>
    </row>
    <row r="602" ht="15.75" customHeight="1">
      <c r="A602" s="12" t="s">
        <v>22</v>
      </c>
      <c r="B602" s="12" t="s">
        <v>23</v>
      </c>
      <c r="C602" s="13">
        <v>9.796127291564465</v>
      </c>
      <c r="D602" s="13">
        <v>88.48</v>
      </c>
      <c r="E602" s="13">
        <f t="shared" si="118"/>
        <v>9.757087495</v>
      </c>
      <c r="F602" s="13">
        <f t="shared" si="119"/>
        <v>29.27126248</v>
      </c>
      <c r="G602" s="12" t="s">
        <v>21</v>
      </c>
    </row>
    <row r="603" ht="15.75" customHeight="1">
      <c r="A603" s="14" t="s">
        <v>24</v>
      </c>
      <c r="B603" s="14" t="s">
        <v>26</v>
      </c>
      <c r="C603" s="15">
        <v>2.103749652758038</v>
      </c>
      <c r="D603" s="15">
        <v>99.89</v>
      </c>
      <c r="E603" s="15">
        <f t="shared" si="118"/>
        <v>1.856021223</v>
      </c>
      <c r="F603" s="15">
        <f t="shared" si="119"/>
        <v>5.568063668</v>
      </c>
      <c r="G603" s="14" t="s">
        <v>21</v>
      </c>
    </row>
    <row r="604" ht="15.75" customHeight="1">
      <c r="A604" s="16" t="s">
        <v>27</v>
      </c>
      <c r="B604" s="17"/>
      <c r="C604" s="18">
        <f>SUM(C600:C603)</f>
        <v>100</v>
      </c>
      <c r="D604" s="18"/>
      <c r="E604" s="18">
        <f t="shared" ref="E604:F604" si="120">SUM(E600:E603)</f>
        <v>100</v>
      </c>
      <c r="F604" s="18">
        <f t="shared" si="120"/>
        <v>300</v>
      </c>
      <c r="G604" s="16"/>
    </row>
    <row r="605" ht="15.75" customHeight="1">
      <c r="A605" s="19" t="s">
        <v>33</v>
      </c>
      <c r="B605" s="20">
        <v>14.405888538380655</v>
      </c>
      <c r="C605" s="19" t="s">
        <v>35</v>
      </c>
      <c r="D605" s="20">
        <v>80.7499661755506</v>
      </c>
      <c r="E605" s="19" t="s">
        <v>36</v>
      </c>
      <c r="F605" s="20">
        <v>20.127453313952596</v>
      </c>
      <c r="G605" s="19"/>
    </row>
    <row r="606" ht="15.75" customHeight="1">
      <c r="A606" s="19" t="s">
        <v>37</v>
      </c>
      <c r="B606" s="20">
        <v>0.8766710574799467</v>
      </c>
      <c r="C606" s="19" t="s">
        <v>38</v>
      </c>
      <c r="D606" s="20">
        <v>0.41701306839868324</v>
      </c>
      <c r="E606" s="19" t="s">
        <v>39</v>
      </c>
      <c r="F606" s="20">
        <v>2.10226279201833</v>
      </c>
      <c r="G606" s="19"/>
    </row>
    <row r="607" ht="15.75" customHeight="1">
      <c r="A607" s="19" t="s">
        <v>40</v>
      </c>
      <c r="B607" s="20">
        <v>3.7334049768448714</v>
      </c>
      <c r="C607" s="19" t="s">
        <v>41</v>
      </c>
      <c r="D607" s="20">
        <v>0.0</v>
      </c>
      <c r="E607" s="19" t="s">
        <v>42</v>
      </c>
      <c r="F607" s="20">
        <v>0.0</v>
      </c>
      <c r="G607" s="19"/>
    </row>
    <row r="608" ht="15.75" customHeight="1">
      <c r="A608" s="21" t="s">
        <v>410</v>
      </c>
    </row>
    <row r="609" ht="30.0" customHeight="1">
      <c r="A609" s="26" t="s">
        <v>51</v>
      </c>
      <c r="B609" s="23"/>
      <c r="C609" s="23"/>
      <c r="D609" s="23"/>
      <c r="E609" s="23"/>
      <c r="F609" s="23"/>
      <c r="G609" s="24"/>
    </row>
    <row r="610" ht="15.75" customHeight="1"/>
    <row r="611" ht="22.5" customHeight="1">
      <c r="A611" s="3" t="s">
        <v>412</v>
      </c>
    </row>
    <row r="612" ht="15.75" customHeight="1">
      <c r="A612" s="5" t="s">
        <v>413</v>
      </c>
      <c r="B612" s="6"/>
      <c r="C612" s="6"/>
      <c r="D612" s="6"/>
      <c r="E612" s="6"/>
      <c r="F612" s="6"/>
      <c r="G612" s="7"/>
    </row>
    <row r="613" ht="30.0" customHeight="1">
      <c r="A613" s="8" t="s">
        <v>9</v>
      </c>
      <c r="B613" s="8" t="s">
        <v>10</v>
      </c>
      <c r="C613" s="8" t="s">
        <v>11</v>
      </c>
      <c r="D613" s="8" t="s">
        <v>12</v>
      </c>
      <c r="E613" s="8" t="s">
        <v>13</v>
      </c>
      <c r="F613" s="8" t="s">
        <v>14</v>
      </c>
      <c r="G613" s="8" t="s">
        <v>15</v>
      </c>
    </row>
    <row r="614" ht="15.75" customHeight="1">
      <c r="A614" s="10" t="s">
        <v>16</v>
      </c>
      <c r="B614" s="10" t="s">
        <v>17</v>
      </c>
      <c r="C614" s="11">
        <v>15.950000000000001</v>
      </c>
      <c r="D614" s="11">
        <v>88.05</v>
      </c>
      <c r="E614" s="11">
        <f t="shared" ref="E614:E617" si="121">IF(D614&gt;0,(C614/D614)/SUMPRODUCT($C$614:$C$617/$D$614:$D$617)*100,"")</f>
        <v>15.95019189</v>
      </c>
      <c r="F614" s="11">
        <f t="shared" ref="F614:F617" si="122">IF(E614&lt;&gt;"",E614*3,"")</f>
        <v>47.85057567</v>
      </c>
      <c r="G614" s="10" t="s">
        <v>21</v>
      </c>
    </row>
    <row r="615" ht="15.75" customHeight="1">
      <c r="A615" s="12" t="s">
        <v>16</v>
      </c>
      <c r="B615" s="12" t="s">
        <v>19</v>
      </c>
      <c r="C615" s="13">
        <v>77.82000000000001</v>
      </c>
      <c r="D615" s="13">
        <v>87.78</v>
      </c>
      <c r="E615" s="13">
        <f t="shared" si="121"/>
        <v>78.06030343</v>
      </c>
      <c r="F615" s="13">
        <f t="shared" si="122"/>
        <v>234.1809103</v>
      </c>
      <c r="G615" s="12" t="s">
        <v>21</v>
      </c>
    </row>
    <row r="616" ht="15.75" customHeight="1">
      <c r="A616" s="12" t="s">
        <v>22</v>
      </c>
      <c r="B616" s="12" t="s">
        <v>23</v>
      </c>
      <c r="C616" s="13">
        <v>4.38</v>
      </c>
      <c r="D616" s="13">
        <v>88.48</v>
      </c>
      <c r="E616" s="13">
        <f t="shared" si="121"/>
        <v>4.358766272</v>
      </c>
      <c r="F616" s="13">
        <f t="shared" si="122"/>
        <v>13.07629882</v>
      </c>
      <c r="G616" s="12" t="s">
        <v>21</v>
      </c>
    </row>
    <row r="617" ht="15.75" customHeight="1">
      <c r="A617" s="14" t="s">
        <v>24</v>
      </c>
      <c r="B617" s="14" t="s">
        <v>26</v>
      </c>
      <c r="C617" s="15">
        <v>1.8500000000000003</v>
      </c>
      <c r="D617" s="15">
        <v>99.89</v>
      </c>
      <c r="E617" s="15">
        <f t="shared" si="121"/>
        <v>1.630738409</v>
      </c>
      <c r="F617" s="15">
        <f t="shared" si="122"/>
        <v>4.892215228</v>
      </c>
      <c r="G617" s="14" t="s">
        <v>21</v>
      </c>
    </row>
    <row r="618" ht="15.75" customHeight="1">
      <c r="A618" s="16" t="s">
        <v>27</v>
      </c>
      <c r="B618" s="17"/>
      <c r="C618" s="18">
        <f>SUM(C614:C617)</f>
        <v>100</v>
      </c>
      <c r="D618" s="18"/>
      <c r="E618" s="18">
        <f t="shared" ref="E618:F618" si="123">SUM(E614:E617)</f>
        <v>100</v>
      </c>
      <c r="F618" s="18">
        <f t="shared" si="123"/>
        <v>300</v>
      </c>
      <c r="G618" s="16"/>
    </row>
    <row r="619" ht="15.75" customHeight="1">
      <c r="A619" s="19" t="s">
        <v>33</v>
      </c>
      <c r="B619" s="20">
        <v>11.947948000000002</v>
      </c>
      <c r="C619" s="19" t="s">
        <v>35</v>
      </c>
      <c r="D619" s="20">
        <v>81.86484500000002</v>
      </c>
      <c r="E619" s="19" t="s">
        <v>36</v>
      </c>
      <c r="F619" s="20">
        <v>18.883124000000002</v>
      </c>
      <c r="G619" s="19"/>
    </row>
    <row r="620" ht="15.75" customHeight="1">
      <c r="A620" s="19" t="s">
        <v>37</v>
      </c>
      <c r="B620" s="20">
        <v>0.7590800000000002</v>
      </c>
      <c r="C620" s="19" t="s">
        <v>38</v>
      </c>
      <c r="D620" s="20">
        <v>0.37122600000000006</v>
      </c>
      <c r="E620" s="19" t="s">
        <v>39</v>
      </c>
      <c r="F620" s="20">
        <v>2.044792121241508</v>
      </c>
      <c r="G620" s="19"/>
    </row>
    <row r="621" ht="15.75" customHeight="1">
      <c r="A621" s="19" t="s">
        <v>40</v>
      </c>
      <c r="B621" s="20">
        <v>3.900536000000001</v>
      </c>
      <c r="C621" s="19" t="s">
        <v>41</v>
      </c>
      <c r="D621" s="20">
        <v>0.0</v>
      </c>
      <c r="E621" s="19" t="s">
        <v>42</v>
      </c>
      <c r="F621" s="20">
        <v>0.0</v>
      </c>
      <c r="G621" s="19"/>
    </row>
    <row r="622" ht="15.75" customHeight="1">
      <c r="A622" s="21" t="s">
        <v>417</v>
      </c>
    </row>
    <row r="623" ht="30.0" customHeight="1">
      <c r="A623" s="26" t="s">
        <v>51</v>
      </c>
      <c r="B623" s="23"/>
      <c r="C623" s="23"/>
      <c r="D623" s="23"/>
      <c r="E623" s="23"/>
      <c r="F623" s="23"/>
      <c r="G623" s="24"/>
    </row>
    <row r="624" ht="15.75" customHeight="1"/>
    <row r="625" ht="22.5" customHeight="1">
      <c r="A625" s="3" t="s">
        <v>419</v>
      </c>
    </row>
    <row r="626" ht="15.75" customHeight="1">
      <c r="A626" s="5" t="s">
        <v>350</v>
      </c>
      <c r="B626" s="6"/>
      <c r="C626" s="6"/>
      <c r="D626" s="6"/>
      <c r="E626" s="6"/>
      <c r="F626" s="6"/>
      <c r="G626" s="7"/>
    </row>
    <row r="627" ht="30.0" customHeight="1">
      <c r="A627" s="8" t="s">
        <v>9</v>
      </c>
      <c r="B627" s="8" t="s">
        <v>10</v>
      </c>
      <c r="C627" s="8" t="s">
        <v>11</v>
      </c>
      <c r="D627" s="8" t="s">
        <v>12</v>
      </c>
      <c r="E627" s="8" t="s">
        <v>13</v>
      </c>
      <c r="F627" s="8" t="s">
        <v>14</v>
      </c>
      <c r="G627" s="8" t="s">
        <v>15</v>
      </c>
    </row>
    <row r="628" ht="15.75" customHeight="1">
      <c r="A628" s="10" t="s">
        <v>16</v>
      </c>
      <c r="B628" s="10" t="s">
        <v>17</v>
      </c>
      <c r="C628" s="11">
        <v>19.12</v>
      </c>
      <c r="D628" s="11">
        <v>88.05</v>
      </c>
      <c r="E628" s="11">
        <f t="shared" ref="E628:E631" si="124">IF(D628&gt;0,(C628/D628)/SUMPRODUCT($C$628:$C$631/$D$628:$D$631)*100,"")</f>
        <v>19.125877</v>
      </c>
      <c r="F628" s="11">
        <f t="shared" ref="F628:F631" si="125">IF(E628&lt;&gt;"",E628*3,"")</f>
        <v>57.377631</v>
      </c>
      <c r="G628" s="10" t="s">
        <v>21</v>
      </c>
    </row>
    <row r="629" ht="15.75" customHeight="1">
      <c r="A629" s="12" t="s">
        <v>16</v>
      </c>
      <c r="B629" s="12" t="s">
        <v>19</v>
      </c>
      <c r="C629" s="13">
        <v>74.45</v>
      </c>
      <c r="D629" s="13">
        <v>87.78</v>
      </c>
      <c r="E629" s="13">
        <f t="shared" si="124"/>
        <v>74.70195305</v>
      </c>
      <c r="F629" s="13">
        <f t="shared" si="125"/>
        <v>224.1058591</v>
      </c>
      <c r="G629" s="12" t="s">
        <v>21</v>
      </c>
    </row>
    <row r="630" ht="15.75" customHeight="1">
      <c r="A630" s="12" t="s">
        <v>22</v>
      </c>
      <c r="B630" s="12" t="s">
        <v>23</v>
      </c>
      <c r="C630" s="13">
        <v>4.42</v>
      </c>
      <c r="D630" s="13">
        <v>88.48</v>
      </c>
      <c r="E630" s="13">
        <f t="shared" si="124"/>
        <v>4.399871432</v>
      </c>
      <c r="F630" s="13">
        <f t="shared" si="125"/>
        <v>13.1996143</v>
      </c>
      <c r="G630" s="12" t="s">
        <v>21</v>
      </c>
    </row>
    <row r="631" ht="15.75" customHeight="1">
      <c r="A631" s="14" t="s">
        <v>24</v>
      </c>
      <c r="B631" s="14" t="s">
        <v>26</v>
      </c>
      <c r="C631" s="15">
        <v>2.01</v>
      </c>
      <c r="D631" s="15">
        <v>99.89</v>
      </c>
      <c r="E631" s="15">
        <f t="shared" si="124"/>
        <v>1.772298521</v>
      </c>
      <c r="F631" s="15">
        <f t="shared" si="125"/>
        <v>5.316895564</v>
      </c>
      <c r="G631" s="14" t="s">
        <v>21</v>
      </c>
    </row>
    <row r="632" ht="15.75" customHeight="1">
      <c r="A632" s="16" t="s">
        <v>27</v>
      </c>
      <c r="B632" s="17"/>
      <c r="C632" s="18">
        <f>SUM(C628:C631)</f>
        <v>100</v>
      </c>
      <c r="D632" s="18"/>
      <c r="E632" s="18">
        <f t="shared" ref="E632:F632" si="126">SUM(E628:E631)</f>
        <v>100</v>
      </c>
      <c r="F632" s="18">
        <f t="shared" si="126"/>
        <v>300</v>
      </c>
      <c r="G632" s="16"/>
    </row>
    <row r="633" ht="15.75" customHeight="1">
      <c r="A633" s="19" t="s">
        <v>33</v>
      </c>
      <c r="B633" s="20">
        <v>12.203486000000002</v>
      </c>
      <c r="C633" s="19" t="s">
        <v>35</v>
      </c>
      <c r="D633" s="20">
        <v>81.25972099999998</v>
      </c>
      <c r="E633" s="19" t="s">
        <v>36</v>
      </c>
      <c r="F633" s="20">
        <v>19.797861</v>
      </c>
      <c r="G633" s="19"/>
    </row>
    <row r="634" ht="15.75" customHeight="1">
      <c r="A634" s="19" t="s">
        <v>37</v>
      </c>
      <c r="B634" s="20">
        <v>0.8239839999999998</v>
      </c>
      <c r="C634" s="19" t="s">
        <v>38</v>
      </c>
      <c r="D634" s="20">
        <v>0.39315999999999995</v>
      </c>
      <c r="E634" s="19" t="s">
        <v>39</v>
      </c>
      <c r="F634" s="20">
        <v>2.095798148336555</v>
      </c>
      <c r="G634" s="19"/>
    </row>
    <row r="635" ht="15.75" customHeight="1">
      <c r="A635" s="19" t="s">
        <v>40</v>
      </c>
      <c r="B635" s="20">
        <v>3.873856</v>
      </c>
      <c r="C635" s="19" t="s">
        <v>41</v>
      </c>
      <c r="D635" s="20">
        <v>0.0</v>
      </c>
      <c r="E635" s="19" t="s">
        <v>42</v>
      </c>
      <c r="F635" s="20">
        <v>1.0</v>
      </c>
      <c r="G635" s="19"/>
    </row>
    <row r="636" ht="15.75" customHeight="1">
      <c r="A636" s="21" t="s">
        <v>421</v>
      </c>
    </row>
    <row r="637" ht="30.0" customHeight="1">
      <c r="A637" s="22" t="s">
        <v>134</v>
      </c>
      <c r="B637" s="23"/>
      <c r="C637" s="23"/>
      <c r="D637" s="23"/>
      <c r="E637" s="23"/>
      <c r="F637" s="23"/>
      <c r="G637" s="24"/>
    </row>
    <row r="638" ht="15.75" customHeight="1"/>
    <row r="639" ht="22.5" customHeight="1">
      <c r="A639" s="3" t="s">
        <v>422</v>
      </c>
    </row>
    <row r="640" ht="15.75" customHeight="1">
      <c r="A640" s="5" t="s">
        <v>359</v>
      </c>
      <c r="B640" s="6"/>
      <c r="C640" s="6"/>
      <c r="D640" s="6"/>
      <c r="E640" s="6"/>
      <c r="F640" s="6"/>
      <c r="G640" s="7"/>
    </row>
    <row r="641" ht="30.0" customHeight="1">
      <c r="A641" s="8" t="s">
        <v>9</v>
      </c>
      <c r="B641" s="8" t="s">
        <v>10</v>
      </c>
      <c r="C641" s="8" t="s">
        <v>11</v>
      </c>
      <c r="D641" s="8" t="s">
        <v>12</v>
      </c>
      <c r="E641" s="8" t="s">
        <v>13</v>
      </c>
      <c r="F641" s="8" t="s">
        <v>14</v>
      </c>
      <c r="G641" s="8" t="s">
        <v>15</v>
      </c>
    </row>
    <row r="642" ht="15.75" customHeight="1">
      <c r="A642" s="10" t="s">
        <v>16</v>
      </c>
      <c r="B642" s="10" t="s">
        <v>17</v>
      </c>
      <c r="C642" s="11">
        <v>21.66</v>
      </c>
      <c r="D642" s="11">
        <v>88.05</v>
      </c>
      <c r="E642" s="11">
        <f t="shared" ref="E642:E645" si="127">IF(D642&gt;0,(C642/D642)/SUMPRODUCT($C$642:$C$645/$D$642:$D$645)*100,"")</f>
        <v>21.69769509</v>
      </c>
      <c r="F642" s="11">
        <f t="shared" ref="F642:F645" si="128">IF(E642&lt;&gt;"",E642*3,"")</f>
        <v>65.09308528</v>
      </c>
      <c r="G642" s="10" t="s">
        <v>21</v>
      </c>
    </row>
    <row r="643" ht="15.75" customHeight="1">
      <c r="A643" s="12" t="s">
        <v>16</v>
      </c>
      <c r="B643" s="12" t="s">
        <v>19</v>
      </c>
      <c r="C643" s="13">
        <v>56.88000000000001</v>
      </c>
      <c r="D643" s="13">
        <v>87.78</v>
      </c>
      <c r="E643" s="13">
        <f t="shared" si="127"/>
        <v>57.15424882</v>
      </c>
      <c r="F643" s="13">
        <f t="shared" si="128"/>
        <v>171.4627465</v>
      </c>
      <c r="G643" s="12" t="s">
        <v>21</v>
      </c>
    </row>
    <row r="644" ht="15.75" customHeight="1">
      <c r="A644" s="12" t="s">
        <v>22</v>
      </c>
      <c r="B644" s="12" t="s">
        <v>23</v>
      </c>
      <c r="C644" s="13">
        <v>19.309999999999995</v>
      </c>
      <c r="D644" s="13">
        <v>88.48</v>
      </c>
      <c r="E644" s="13">
        <f t="shared" si="127"/>
        <v>19.24959824</v>
      </c>
      <c r="F644" s="13">
        <f t="shared" si="128"/>
        <v>57.74879473</v>
      </c>
      <c r="G644" s="12" t="s">
        <v>21</v>
      </c>
    </row>
    <row r="645" ht="15.75" customHeight="1">
      <c r="A645" s="14" t="s">
        <v>24</v>
      </c>
      <c r="B645" s="14" t="s">
        <v>26</v>
      </c>
      <c r="C645" s="15">
        <v>2.15</v>
      </c>
      <c r="D645" s="15">
        <v>99.89</v>
      </c>
      <c r="E645" s="15">
        <f t="shared" si="127"/>
        <v>1.898457839</v>
      </c>
      <c r="F645" s="15">
        <f t="shared" si="128"/>
        <v>5.695373517</v>
      </c>
      <c r="G645" s="14" t="s">
        <v>21</v>
      </c>
    </row>
    <row r="646" ht="15.75" customHeight="1">
      <c r="A646" s="16" t="s">
        <v>27</v>
      </c>
      <c r="B646" s="17"/>
      <c r="C646" s="18">
        <f>SUM(C642:C645)</f>
        <v>100</v>
      </c>
      <c r="D646" s="18"/>
      <c r="E646" s="18">
        <f t="shared" ref="E646:F646" si="129">SUM(E642:E645)</f>
        <v>100</v>
      </c>
      <c r="F646" s="18">
        <f t="shared" si="129"/>
        <v>300</v>
      </c>
      <c r="G646" s="16"/>
    </row>
    <row r="647" ht="15.75" customHeight="1">
      <c r="A647" s="19" t="s">
        <v>33</v>
      </c>
      <c r="B647" s="20">
        <v>18.299828</v>
      </c>
      <c r="C647" s="19" t="s">
        <v>35</v>
      </c>
      <c r="D647" s="20">
        <v>79.977237</v>
      </c>
      <c r="E647" s="19" t="s">
        <v>36</v>
      </c>
      <c r="F647" s="20">
        <v>20.674715000000003</v>
      </c>
      <c r="G647" s="19"/>
    </row>
    <row r="648" ht="15.75" customHeight="1">
      <c r="A648" s="19" t="s">
        <v>37</v>
      </c>
      <c r="B648" s="20">
        <v>0.9249659999999998</v>
      </c>
      <c r="C648" s="19" t="s">
        <v>38</v>
      </c>
      <c r="D648" s="20">
        <v>0.458252</v>
      </c>
      <c r="E648" s="19" t="s">
        <v>39</v>
      </c>
      <c r="F648" s="20">
        <v>2.018465822298648</v>
      </c>
      <c r="G648" s="19"/>
    </row>
    <row r="649" ht="15.75" customHeight="1">
      <c r="A649" s="19" t="s">
        <v>40</v>
      </c>
      <c r="B649" s="20">
        <v>3.490937</v>
      </c>
      <c r="C649" s="19" t="s">
        <v>41</v>
      </c>
      <c r="D649" s="20">
        <v>0.0</v>
      </c>
      <c r="E649" s="19" t="s">
        <v>42</v>
      </c>
      <c r="F649" s="20">
        <v>1.0</v>
      </c>
      <c r="G649" s="19"/>
    </row>
    <row r="650" ht="15.75" customHeight="1">
      <c r="A650" s="21" t="s">
        <v>425</v>
      </c>
    </row>
    <row r="651" ht="30.0" customHeight="1">
      <c r="A651" s="22" t="s">
        <v>426</v>
      </c>
      <c r="B651" s="23"/>
      <c r="C651" s="23"/>
      <c r="D651" s="23"/>
      <c r="E651" s="23"/>
      <c r="F651" s="23"/>
      <c r="G651" s="24"/>
    </row>
    <row r="652" ht="15.75" customHeight="1"/>
    <row r="653" ht="22.5" customHeight="1">
      <c r="A653" s="3" t="s">
        <v>427</v>
      </c>
    </row>
    <row r="654" ht="15.75" customHeight="1">
      <c r="A654" s="5" t="s">
        <v>428</v>
      </c>
      <c r="B654" s="6"/>
      <c r="C654" s="6"/>
      <c r="D654" s="6"/>
      <c r="E654" s="6"/>
      <c r="F654" s="6"/>
      <c r="G654" s="7"/>
    </row>
    <row r="655" ht="30.0" customHeight="1">
      <c r="A655" s="8" t="s">
        <v>9</v>
      </c>
      <c r="B655" s="8" t="s">
        <v>10</v>
      </c>
      <c r="C655" s="8" t="s">
        <v>11</v>
      </c>
      <c r="D655" s="8" t="s">
        <v>12</v>
      </c>
      <c r="E655" s="8" t="s">
        <v>13</v>
      </c>
      <c r="F655" s="8" t="s">
        <v>14</v>
      </c>
      <c r="G655" s="8" t="s">
        <v>15</v>
      </c>
    </row>
    <row r="656" ht="15.75" customHeight="1">
      <c r="A656" s="10" t="s">
        <v>16</v>
      </c>
      <c r="B656" s="10" t="s">
        <v>17</v>
      </c>
      <c r="C656" s="11">
        <v>33.86</v>
      </c>
      <c r="D656" s="11">
        <v>88.05</v>
      </c>
      <c r="E656" s="11">
        <f t="shared" ref="E656:E659" si="130">IF(D656&gt;0,(C656/D656)/SUMPRODUCT($C$656:$C$659/$D$656:$D$659)*100,"")</f>
        <v>33.89565381</v>
      </c>
      <c r="F656" s="11">
        <f t="shared" ref="F656:F659" si="131">IF(E656&lt;&gt;"",E656*3,"")</f>
        <v>101.6869614</v>
      </c>
      <c r="G656" s="10" t="s">
        <v>21</v>
      </c>
    </row>
    <row r="657" ht="15.75" customHeight="1">
      <c r="A657" s="12" t="s">
        <v>16</v>
      </c>
      <c r="B657" s="12" t="s">
        <v>19</v>
      </c>
      <c r="C657" s="13">
        <v>61.77</v>
      </c>
      <c r="D657" s="13">
        <v>87.78</v>
      </c>
      <c r="E657" s="13">
        <f t="shared" si="130"/>
        <v>62.02523904</v>
      </c>
      <c r="F657" s="13">
        <f t="shared" si="131"/>
        <v>186.0757171</v>
      </c>
      <c r="G657" s="12" t="s">
        <v>21</v>
      </c>
    </row>
    <row r="658" ht="15.75" customHeight="1">
      <c r="A658" s="12" t="s">
        <v>22</v>
      </c>
      <c r="B658" s="12" t="s">
        <v>23</v>
      </c>
      <c r="C658" s="13">
        <v>1.96</v>
      </c>
      <c r="D658" s="13">
        <v>88.48</v>
      </c>
      <c r="E658" s="13">
        <f t="shared" si="130"/>
        <v>1.952528489</v>
      </c>
      <c r="F658" s="13">
        <f t="shared" si="131"/>
        <v>5.857585467</v>
      </c>
      <c r="G658" s="12" t="s">
        <v>21</v>
      </c>
    </row>
    <row r="659" ht="15.75" customHeight="1">
      <c r="A659" s="14" t="s">
        <v>24</v>
      </c>
      <c r="B659" s="14" t="s">
        <v>26</v>
      </c>
      <c r="C659" s="15">
        <v>2.41</v>
      </c>
      <c r="D659" s="15">
        <v>99.89</v>
      </c>
      <c r="E659" s="15">
        <f t="shared" si="130"/>
        <v>2.126578659</v>
      </c>
      <c r="F659" s="15">
        <f t="shared" si="131"/>
        <v>6.379735978</v>
      </c>
      <c r="G659" s="14" t="s">
        <v>21</v>
      </c>
    </row>
    <row r="660" ht="15.75" customHeight="1">
      <c r="A660" s="16" t="s">
        <v>27</v>
      </c>
      <c r="B660" s="17"/>
      <c r="C660" s="18">
        <f>SUM(C656:C659)</f>
        <v>100</v>
      </c>
      <c r="D660" s="18"/>
      <c r="E660" s="18">
        <f t="shared" ref="E660:F660" si="132">SUM(E656:E659)</f>
        <v>100</v>
      </c>
      <c r="F660" s="18">
        <f t="shared" si="132"/>
        <v>300</v>
      </c>
      <c r="G660" s="16"/>
    </row>
    <row r="661" ht="15.75" customHeight="1">
      <c r="A661" s="19" t="s">
        <v>33</v>
      </c>
      <c r="B661" s="20">
        <v>12.373598000000003</v>
      </c>
      <c r="C661" s="19" t="s">
        <v>35</v>
      </c>
      <c r="D661" s="20">
        <v>78.882149</v>
      </c>
      <c r="E661" s="19" t="s">
        <v>36</v>
      </c>
      <c r="F661" s="20">
        <v>24.074810999999997</v>
      </c>
      <c r="G661" s="19"/>
    </row>
    <row r="662" ht="15.75" customHeight="1">
      <c r="A662" s="19" t="s">
        <v>37</v>
      </c>
      <c r="B662" s="20">
        <v>0.9894680000000001</v>
      </c>
      <c r="C662" s="19" t="s">
        <v>38</v>
      </c>
      <c r="D662" s="20">
        <v>0.48750799999999994</v>
      </c>
      <c r="E662" s="19" t="s">
        <v>39</v>
      </c>
      <c r="F662" s="20">
        <v>2.029644641728957</v>
      </c>
      <c r="G662" s="19"/>
    </row>
    <row r="663" ht="15.75" customHeight="1">
      <c r="A663" s="19" t="s">
        <v>40</v>
      </c>
      <c r="B663" s="20">
        <v>3.8284740000000004</v>
      </c>
      <c r="C663" s="19" t="s">
        <v>41</v>
      </c>
      <c r="D663" s="20">
        <v>0.0</v>
      </c>
      <c r="E663" s="19" t="s">
        <v>42</v>
      </c>
      <c r="F663" s="20">
        <v>1.0</v>
      </c>
      <c r="G663" s="19"/>
    </row>
    <row r="664" ht="15.75" customHeight="1">
      <c r="A664" s="21" t="s">
        <v>430</v>
      </c>
    </row>
    <row r="665" ht="30.0" customHeight="1">
      <c r="A665" s="22" t="s">
        <v>431</v>
      </c>
      <c r="B665" s="23"/>
      <c r="C665" s="23"/>
      <c r="D665" s="23"/>
      <c r="E665" s="23"/>
      <c r="F665" s="23"/>
      <c r="G665" s="24"/>
    </row>
    <row r="666" ht="15.75" customHeight="1"/>
    <row r="667" ht="22.5" customHeight="1">
      <c r="A667" s="3" t="s">
        <v>433</v>
      </c>
    </row>
    <row r="668" ht="15.75" customHeight="1">
      <c r="A668" s="5" t="s">
        <v>56</v>
      </c>
      <c r="B668" s="6"/>
      <c r="C668" s="6"/>
      <c r="D668" s="6"/>
      <c r="E668" s="6"/>
      <c r="F668" s="6"/>
      <c r="G668" s="7"/>
    </row>
    <row r="669" ht="30.0" customHeight="1">
      <c r="A669" s="8" t="s">
        <v>9</v>
      </c>
      <c r="B669" s="8" t="s">
        <v>10</v>
      </c>
      <c r="C669" s="8" t="s">
        <v>11</v>
      </c>
      <c r="D669" s="8" t="s">
        <v>12</v>
      </c>
      <c r="E669" s="8" t="s">
        <v>13</v>
      </c>
      <c r="F669" s="8" t="s">
        <v>14</v>
      </c>
      <c r="G669" s="8" t="s">
        <v>15</v>
      </c>
    </row>
    <row r="670" ht="15.75" customHeight="1">
      <c r="A670" s="10" t="s">
        <v>16</v>
      </c>
      <c r="B670" s="10" t="s">
        <v>19</v>
      </c>
      <c r="C670" s="11">
        <v>37.11</v>
      </c>
      <c r="D670" s="11">
        <v>87.78</v>
      </c>
      <c r="E670" s="11">
        <f t="shared" ref="E670:E677" si="133">IF(D670&gt;0,(C670/D670)/SUMPRODUCT($C$670:$C$677/$D$670:$D$677)*100,"")</f>
        <v>37.38436916</v>
      </c>
      <c r="F670" s="11">
        <f t="shared" ref="F670:F677" si="134">IF(E670&lt;&gt;"",E670*3,"")</f>
        <v>112.1531075</v>
      </c>
      <c r="G670" s="10" t="s">
        <v>21</v>
      </c>
    </row>
    <row r="671" ht="15.75" customHeight="1">
      <c r="A671" s="12" t="s">
        <v>16</v>
      </c>
      <c r="B671" s="12" t="s">
        <v>52</v>
      </c>
      <c r="C671" s="13">
        <v>7.780000000000001</v>
      </c>
      <c r="D671" s="13">
        <v>90.57</v>
      </c>
      <c r="E671" s="13">
        <f t="shared" si="133"/>
        <v>7.596086612</v>
      </c>
      <c r="F671" s="13">
        <f t="shared" si="134"/>
        <v>22.78825984</v>
      </c>
      <c r="G671" s="12" t="s">
        <v>21</v>
      </c>
    </row>
    <row r="672" ht="15.75" customHeight="1">
      <c r="A672" s="12" t="s">
        <v>16</v>
      </c>
      <c r="B672" s="12" t="s">
        <v>271</v>
      </c>
      <c r="C672" s="13">
        <v>8.22</v>
      </c>
      <c r="D672" s="13">
        <v>88.26</v>
      </c>
      <c r="E672" s="13">
        <f t="shared" si="133"/>
        <v>8.235738968</v>
      </c>
      <c r="F672" s="13">
        <f t="shared" si="134"/>
        <v>24.70721691</v>
      </c>
      <c r="G672" s="12" t="s">
        <v>21</v>
      </c>
    </row>
    <row r="673" ht="15.75" customHeight="1">
      <c r="A673" s="12" t="s">
        <v>16</v>
      </c>
      <c r="B673" s="12" t="s">
        <v>272</v>
      </c>
      <c r="C673" s="13">
        <v>5.0</v>
      </c>
      <c r="D673" s="13">
        <v>83.98</v>
      </c>
      <c r="E673" s="13">
        <f t="shared" si="133"/>
        <v>5.264884072</v>
      </c>
      <c r="F673" s="13">
        <f t="shared" si="134"/>
        <v>15.79465221</v>
      </c>
      <c r="G673" s="12" t="s">
        <v>21</v>
      </c>
    </row>
    <row r="674" ht="15.75" customHeight="1">
      <c r="A674" s="12" t="s">
        <v>22</v>
      </c>
      <c r="B674" s="12" t="s">
        <v>23</v>
      </c>
      <c r="C674" s="13">
        <v>38.75</v>
      </c>
      <c r="D674" s="13">
        <v>88.48</v>
      </c>
      <c r="E674" s="13">
        <f t="shared" si="133"/>
        <v>38.72766132</v>
      </c>
      <c r="F674" s="13">
        <f t="shared" si="134"/>
        <v>116.182984</v>
      </c>
      <c r="G674" s="12" t="s">
        <v>21</v>
      </c>
    </row>
    <row r="675" ht="15.75" customHeight="1">
      <c r="A675" s="12" t="s">
        <v>24</v>
      </c>
      <c r="B675" s="12" t="s">
        <v>26</v>
      </c>
      <c r="C675" s="13">
        <v>1.6399999999999997</v>
      </c>
      <c r="D675" s="13">
        <v>99.89</v>
      </c>
      <c r="E675" s="13">
        <f t="shared" si="133"/>
        <v>1.451832499</v>
      </c>
      <c r="F675" s="13">
        <f t="shared" si="134"/>
        <v>4.355497496</v>
      </c>
      <c r="G675" s="12" t="s">
        <v>21</v>
      </c>
    </row>
    <row r="676" ht="15.75" customHeight="1">
      <c r="A676" s="12" t="s">
        <v>164</v>
      </c>
      <c r="B676" s="12" t="s">
        <v>165</v>
      </c>
      <c r="C676" s="13">
        <v>1.0</v>
      </c>
      <c r="D676" s="13">
        <v>99.02</v>
      </c>
      <c r="E676" s="13">
        <f t="shared" si="133"/>
        <v>0.8930417377</v>
      </c>
      <c r="F676" s="13">
        <f t="shared" si="134"/>
        <v>2.679125213</v>
      </c>
      <c r="G676" s="12" t="s">
        <v>21</v>
      </c>
    </row>
    <row r="677" ht="15.75" customHeight="1">
      <c r="A677" s="14" t="s">
        <v>164</v>
      </c>
      <c r="B677" s="14" t="s">
        <v>274</v>
      </c>
      <c r="C677" s="15">
        <v>0.5</v>
      </c>
      <c r="D677" s="15">
        <v>99.05</v>
      </c>
      <c r="E677" s="15">
        <f t="shared" si="133"/>
        <v>0.4463856278</v>
      </c>
      <c r="F677" s="15">
        <f t="shared" si="134"/>
        <v>1.339156883</v>
      </c>
      <c r="G677" s="14" t="s">
        <v>21</v>
      </c>
    </row>
    <row r="678" ht="15.75" customHeight="1">
      <c r="A678" s="16" t="s">
        <v>27</v>
      </c>
      <c r="B678" s="17"/>
      <c r="C678" s="18">
        <f>SUM(C670:C677)</f>
        <v>100</v>
      </c>
      <c r="D678" s="18"/>
      <c r="E678" s="18">
        <f t="shared" ref="E678:F678" si="135">SUM(E670:E677)</f>
        <v>100</v>
      </c>
      <c r="F678" s="18">
        <f t="shared" si="135"/>
        <v>300</v>
      </c>
      <c r="G678" s="16"/>
    </row>
    <row r="679" ht="15.75" customHeight="1">
      <c r="A679" s="19" t="s">
        <v>33</v>
      </c>
      <c r="B679" s="20">
        <v>24.339388</v>
      </c>
      <c r="C679" s="19" t="s">
        <v>35</v>
      </c>
      <c r="D679" s="20">
        <v>79.02714000000002</v>
      </c>
      <c r="E679" s="19" t="s">
        <v>36</v>
      </c>
      <c r="F679" s="20">
        <v>15.171380000000001</v>
      </c>
      <c r="G679" s="19"/>
    </row>
    <row r="680" ht="15.75" customHeight="1">
      <c r="A680" s="19" t="s">
        <v>37</v>
      </c>
      <c r="B680" s="20">
        <v>0.8499499999999999</v>
      </c>
      <c r="C680" s="19" t="s">
        <v>38</v>
      </c>
      <c r="D680" s="20">
        <v>0.37006</v>
      </c>
      <c r="E680" s="19" t="s">
        <v>39</v>
      </c>
      <c r="F680" s="20">
        <v>2.2967897097767924</v>
      </c>
      <c r="G680" s="19"/>
    </row>
    <row r="681" ht="15.75" customHeight="1">
      <c r="A681" s="19" t="s">
        <v>40</v>
      </c>
      <c r="B681" s="20">
        <v>2.939749</v>
      </c>
      <c r="C681" s="19" t="s">
        <v>41</v>
      </c>
      <c r="D681" s="20">
        <v>0.0</v>
      </c>
      <c r="E681" s="19" t="s">
        <v>42</v>
      </c>
      <c r="F681" s="20">
        <v>2.0</v>
      </c>
      <c r="G681" s="19"/>
    </row>
    <row r="682" ht="15.75" customHeight="1">
      <c r="A682" s="21" t="s">
        <v>372</v>
      </c>
    </row>
    <row r="683" ht="30.0" customHeight="1">
      <c r="A683" s="22" t="s">
        <v>374</v>
      </c>
      <c r="B683" s="23"/>
      <c r="C683" s="23"/>
      <c r="D683" s="23"/>
      <c r="E683" s="23"/>
      <c r="F683" s="23"/>
      <c r="G683" s="24"/>
    </row>
    <row r="684" ht="15.75" customHeight="1"/>
    <row r="685" ht="22.5" customHeight="1">
      <c r="A685" s="3" t="s">
        <v>437</v>
      </c>
    </row>
    <row r="686" ht="15.75" customHeight="1">
      <c r="A686" s="5" t="s">
        <v>438</v>
      </c>
      <c r="B686" s="6"/>
      <c r="C686" s="6"/>
      <c r="D686" s="6"/>
      <c r="E686" s="6"/>
      <c r="F686" s="6"/>
      <c r="G686" s="7"/>
    </row>
    <row r="687" ht="30.0" customHeight="1">
      <c r="A687" s="8" t="s">
        <v>9</v>
      </c>
      <c r="B687" s="8" t="s">
        <v>10</v>
      </c>
      <c r="C687" s="8" t="s">
        <v>11</v>
      </c>
      <c r="D687" s="8" t="s">
        <v>12</v>
      </c>
      <c r="E687" s="8" t="s">
        <v>13</v>
      </c>
      <c r="F687" s="8" t="s">
        <v>14</v>
      </c>
      <c r="G687" s="8" t="s">
        <v>15</v>
      </c>
    </row>
    <row r="688" ht="15.75" customHeight="1">
      <c r="A688" s="10" t="s">
        <v>16</v>
      </c>
      <c r="B688" s="10" t="s">
        <v>17</v>
      </c>
      <c r="C688" s="11">
        <v>10.484619902462008</v>
      </c>
      <c r="D688" s="11">
        <v>88.05</v>
      </c>
      <c r="E688" s="11">
        <f t="shared" ref="E688:E691" si="136">IF(D688&gt;0,(C688/D688)/SUMPRODUCT($C$688:$C$691/$D$688:$D$691)*100,"")</f>
        <v>10.48080033</v>
      </c>
      <c r="F688" s="11">
        <f t="shared" ref="F688:F691" si="137">IF(E688&lt;&gt;"",E688*3,"")</f>
        <v>31.44240099</v>
      </c>
      <c r="G688" s="10" t="s">
        <v>21</v>
      </c>
    </row>
    <row r="689" ht="15.75" customHeight="1">
      <c r="A689" s="12" t="s">
        <v>16</v>
      </c>
      <c r="B689" s="12" t="s">
        <v>19</v>
      </c>
      <c r="C689" s="13">
        <v>83.43747013483602</v>
      </c>
      <c r="D689" s="13">
        <v>87.78</v>
      </c>
      <c r="E689" s="13">
        <f t="shared" si="136"/>
        <v>83.66362311</v>
      </c>
      <c r="F689" s="13">
        <f t="shared" si="137"/>
        <v>250.9908693</v>
      </c>
      <c r="G689" s="12" t="s">
        <v>21</v>
      </c>
    </row>
    <row r="690" ht="15.75" customHeight="1">
      <c r="A690" s="12" t="s">
        <v>22</v>
      </c>
      <c r="B690" s="12" t="s">
        <v>23</v>
      </c>
      <c r="C690" s="13">
        <v>4.40059156084414</v>
      </c>
      <c r="D690" s="13">
        <v>88.48</v>
      </c>
      <c r="E690" s="13">
        <f t="shared" si="136"/>
        <v>4.377609968</v>
      </c>
      <c r="F690" s="13">
        <f t="shared" si="137"/>
        <v>13.1328299</v>
      </c>
      <c r="G690" s="12" t="s">
        <v>21</v>
      </c>
    </row>
    <row r="691" ht="15.75" customHeight="1">
      <c r="A691" s="14" t="s">
        <v>24</v>
      </c>
      <c r="B691" s="14" t="s">
        <v>26</v>
      </c>
      <c r="C691" s="15">
        <v>1.6773184018578353</v>
      </c>
      <c r="D691" s="15">
        <v>99.89</v>
      </c>
      <c r="E691" s="15">
        <f t="shared" si="136"/>
        <v>1.477966586</v>
      </c>
      <c r="F691" s="15">
        <f t="shared" si="137"/>
        <v>4.433899757</v>
      </c>
      <c r="G691" s="14" t="s">
        <v>21</v>
      </c>
    </row>
    <row r="692" ht="15.75" customHeight="1">
      <c r="A692" s="16" t="s">
        <v>27</v>
      </c>
      <c r="B692" s="17"/>
      <c r="C692" s="18">
        <f>SUM(C688:C691)</f>
        <v>100</v>
      </c>
      <c r="D692" s="18"/>
      <c r="E692" s="18">
        <f t="shared" ref="E692:F692" si="138">SUM(E688:E691)</f>
        <v>100</v>
      </c>
      <c r="F692" s="18">
        <f t="shared" si="138"/>
        <v>300</v>
      </c>
      <c r="G692" s="16"/>
    </row>
    <row r="693" ht="15.75" customHeight="1">
      <c r="A693" s="19" t="s">
        <v>33</v>
      </c>
      <c r="B693" s="20">
        <v>11.533505154639176</v>
      </c>
      <c r="C693" s="19" t="s">
        <v>35</v>
      </c>
      <c r="D693" s="20">
        <v>82.81462942447556</v>
      </c>
      <c r="E693" s="19" t="s">
        <v>36</v>
      </c>
      <c r="F693" s="20">
        <v>17.29206178442695</v>
      </c>
      <c r="G693" s="19"/>
    </row>
    <row r="694" ht="15.75" customHeight="1">
      <c r="A694" s="19" t="s">
        <v>37</v>
      </c>
      <c r="B694" s="20">
        <v>0.6859523940998159</v>
      </c>
      <c r="C694" s="19" t="s">
        <v>38</v>
      </c>
      <c r="D694" s="20">
        <v>0.3334486681474765</v>
      </c>
      <c r="E694" s="19" t="s">
        <v>39</v>
      </c>
      <c r="F694" s="20">
        <v>2.0571454008520296</v>
      </c>
      <c r="G694" s="19"/>
    </row>
    <row r="695" ht="15.75" customHeight="1">
      <c r="A695" s="19" t="s">
        <v>40</v>
      </c>
      <c r="B695" s="20">
        <v>3.940045996459058</v>
      </c>
      <c r="C695" s="19" t="s">
        <v>41</v>
      </c>
      <c r="D695" s="20">
        <v>0.0</v>
      </c>
      <c r="E695" s="19" t="s">
        <v>42</v>
      </c>
      <c r="F695" s="20">
        <v>1.0</v>
      </c>
      <c r="G695" s="19"/>
    </row>
    <row r="696" ht="15.75" customHeight="1">
      <c r="A696" s="21" t="s">
        <v>440</v>
      </c>
    </row>
    <row r="697" ht="30.0" customHeight="1">
      <c r="A697" s="22" t="s">
        <v>441</v>
      </c>
      <c r="B697" s="23"/>
      <c r="C697" s="23"/>
      <c r="D697" s="23"/>
      <c r="E697" s="23"/>
      <c r="F697" s="23"/>
      <c r="G697" s="24"/>
    </row>
    <row r="698" ht="15.75" customHeight="1"/>
    <row r="699" ht="22.5" customHeight="1">
      <c r="A699" s="3" t="s">
        <v>442</v>
      </c>
    </row>
    <row r="700" ht="15.75" customHeight="1">
      <c r="A700" s="5" t="s">
        <v>443</v>
      </c>
      <c r="B700" s="6"/>
      <c r="C700" s="6"/>
      <c r="D700" s="6"/>
      <c r="E700" s="6"/>
      <c r="F700" s="6"/>
      <c r="G700" s="7"/>
    </row>
    <row r="701" ht="30.0" customHeight="1">
      <c r="A701" s="8" t="s">
        <v>9</v>
      </c>
      <c r="B701" s="8" t="s">
        <v>10</v>
      </c>
      <c r="C701" s="8" t="s">
        <v>11</v>
      </c>
      <c r="D701" s="8" t="s">
        <v>12</v>
      </c>
      <c r="E701" s="8" t="s">
        <v>13</v>
      </c>
      <c r="F701" s="8" t="s">
        <v>14</v>
      </c>
      <c r="G701" s="8" t="s">
        <v>15</v>
      </c>
    </row>
    <row r="702" ht="15.75" customHeight="1">
      <c r="A702" s="10" t="s">
        <v>16</v>
      </c>
      <c r="B702" s="10" t="s">
        <v>19</v>
      </c>
      <c r="C702" s="11">
        <v>54.79953162154351</v>
      </c>
      <c r="D702" s="11">
        <v>87.78</v>
      </c>
      <c r="E702" s="11">
        <f t="shared" ref="E702:E706" si="139">IF(D702&gt;0,(C702/D702)/SUMPRODUCT($C$702:$C$706/$D$702:$D$706)*100,"")</f>
        <v>55.36966637</v>
      </c>
      <c r="F702" s="11">
        <f t="shared" ref="F702:F706" si="140">IF(E702&lt;&gt;"",E702*3,"")</f>
        <v>166.1089991</v>
      </c>
      <c r="G702" s="10" t="s">
        <v>21</v>
      </c>
    </row>
    <row r="703" ht="15.75" customHeight="1">
      <c r="A703" s="12" t="s">
        <v>16</v>
      </c>
      <c r="B703" s="12" t="s">
        <v>34</v>
      </c>
      <c r="C703" s="13">
        <v>28.381452830114352</v>
      </c>
      <c r="D703" s="13">
        <v>88.98</v>
      </c>
      <c r="E703" s="13">
        <f t="shared" si="139"/>
        <v>28.28999419</v>
      </c>
      <c r="F703" s="13">
        <f t="shared" si="140"/>
        <v>84.86998256</v>
      </c>
      <c r="G703" s="12" t="s">
        <v>21</v>
      </c>
    </row>
    <row r="704" ht="15.75" customHeight="1">
      <c r="A704" s="12" t="s">
        <v>22</v>
      </c>
      <c r="B704" s="12" t="s">
        <v>23</v>
      </c>
      <c r="C704" s="13">
        <v>12.214711424558173</v>
      </c>
      <c r="D704" s="13">
        <v>88.48</v>
      </c>
      <c r="E704" s="13">
        <f t="shared" si="139"/>
        <v>12.24415261</v>
      </c>
      <c r="F704" s="13">
        <f t="shared" si="140"/>
        <v>36.73245782</v>
      </c>
      <c r="G704" s="12" t="s">
        <v>21</v>
      </c>
    </row>
    <row r="705" ht="15.75" customHeight="1">
      <c r="A705" s="12" t="s">
        <v>24</v>
      </c>
      <c r="B705" s="12" t="s">
        <v>26</v>
      </c>
      <c r="C705" s="13">
        <v>3.604304123783969</v>
      </c>
      <c r="D705" s="13">
        <v>99.89</v>
      </c>
      <c r="E705" s="13">
        <f t="shared" si="139"/>
        <v>3.200295289</v>
      </c>
      <c r="F705" s="13">
        <f t="shared" si="140"/>
        <v>9.600885867</v>
      </c>
      <c r="G705" s="12" t="s">
        <v>21</v>
      </c>
    </row>
    <row r="706" ht="15.75" customHeight="1">
      <c r="A706" s="14" t="s">
        <v>24</v>
      </c>
      <c r="B706" s="14" t="s">
        <v>70</v>
      </c>
      <c r="C706" s="15">
        <v>1.0</v>
      </c>
      <c r="D706" s="15">
        <v>99.0</v>
      </c>
      <c r="E706" s="15">
        <f t="shared" si="139"/>
        <v>0.8958915534</v>
      </c>
      <c r="F706" s="15">
        <f t="shared" si="140"/>
        <v>2.68767466</v>
      </c>
      <c r="G706" s="14" t="s">
        <v>21</v>
      </c>
    </row>
    <row r="707" ht="15.75" customHeight="1">
      <c r="A707" s="16" t="s">
        <v>27</v>
      </c>
      <c r="B707" s="17"/>
      <c r="C707" s="18">
        <f>SUM(C702:C706)</f>
        <v>100</v>
      </c>
      <c r="D707" s="18"/>
      <c r="E707" s="18">
        <f t="shared" ref="E707:F707" si="141">SUM(E702:E706)</f>
        <v>100</v>
      </c>
      <c r="F707" s="18">
        <f t="shared" si="141"/>
        <v>300</v>
      </c>
      <c r="G707" s="16"/>
    </row>
    <row r="708" ht="15.75" customHeight="1">
      <c r="A708" s="19" t="s">
        <v>33</v>
      </c>
      <c r="B708" s="20">
        <v>14.839424141749724</v>
      </c>
      <c r="C708" s="19" t="s">
        <v>35</v>
      </c>
      <c r="D708" s="20">
        <v>80.70632484548818</v>
      </c>
      <c r="E708" s="19" t="s">
        <v>36</v>
      </c>
      <c r="F708" s="20">
        <v>16.696642672691635</v>
      </c>
      <c r="G708" s="19"/>
    </row>
    <row r="709" ht="15.75" customHeight="1">
      <c r="A709" s="19" t="s">
        <v>37</v>
      </c>
      <c r="B709" s="20">
        <v>1.4341755955339435</v>
      </c>
      <c r="C709" s="19" t="s">
        <v>38</v>
      </c>
      <c r="D709" s="20">
        <v>0.6951441032641855</v>
      </c>
      <c r="E709" s="19" t="s">
        <v>39</v>
      </c>
      <c r="F709" s="20">
        <v>2.0631342318801105</v>
      </c>
      <c r="G709" s="19"/>
    </row>
    <row r="710" ht="15.75" customHeight="1">
      <c r="A710" s="19" t="s">
        <v>40</v>
      </c>
      <c r="B710" s="20">
        <v>7.000000000000399</v>
      </c>
      <c r="C710" s="19" t="s">
        <v>41</v>
      </c>
      <c r="D710" s="20">
        <v>0.0</v>
      </c>
      <c r="E710" s="19" t="s">
        <v>42</v>
      </c>
      <c r="F710" s="20">
        <v>1.0</v>
      </c>
      <c r="G710" s="19"/>
    </row>
    <row r="711" ht="15.75" customHeight="1">
      <c r="A711" s="21" t="s">
        <v>445</v>
      </c>
    </row>
    <row r="712" ht="30.0" customHeight="1">
      <c r="A712" s="22" t="s">
        <v>446</v>
      </c>
      <c r="B712" s="23"/>
      <c r="C712" s="23"/>
      <c r="D712" s="23"/>
      <c r="E712" s="23"/>
      <c r="F712" s="23"/>
      <c r="G712" s="24"/>
    </row>
    <row r="713" ht="15.75" customHeight="1"/>
    <row r="714" ht="22.5" customHeight="1">
      <c r="A714" s="3" t="s">
        <v>447</v>
      </c>
    </row>
    <row r="715" ht="15.75" customHeight="1">
      <c r="A715" s="5" t="s">
        <v>8</v>
      </c>
      <c r="B715" s="6"/>
      <c r="C715" s="6"/>
      <c r="D715" s="6"/>
      <c r="E715" s="6"/>
      <c r="F715" s="6"/>
      <c r="G715" s="7"/>
    </row>
    <row r="716" ht="30.0" customHeight="1">
      <c r="A716" s="8" t="s">
        <v>9</v>
      </c>
      <c r="B716" s="8" t="s">
        <v>10</v>
      </c>
      <c r="C716" s="8" t="s">
        <v>11</v>
      </c>
      <c r="D716" s="8" t="s">
        <v>12</v>
      </c>
      <c r="E716" s="8" t="s">
        <v>13</v>
      </c>
      <c r="F716" s="8" t="s">
        <v>14</v>
      </c>
      <c r="G716" s="8" t="s">
        <v>15</v>
      </c>
    </row>
    <row r="717" ht="15.75" customHeight="1">
      <c r="A717" s="10" t="s">
        <v>16</v>
      </c>
      <c r="B717" s="10" t="s">
        <v>19</v>
      </c>
      <c r="C717" s="11">
        <v>72.74246470554691</v>
      </c>
      <c r="D717" s="11">
        <v>87.78</v>
      </c>
      <c r="E717" s="11">
        <f t="shared" ref="E717:E720" si="142">IF(D717&gt;0,(C717/D717)/SUMPRODUCT($C$717:$C$720/$D$717:$D$720)*100,"")</f>
        <v>73.09472363</v>
      </c>
      <c r="F717" s="11">
        <f t="shared" ref="F717:F720" si="143">IF(E717&lt;&gt;"",E717*3,"")</f>
        <v>219.2841709</v>
      </c>
      <c r="G717" s="10" t="s">
        <v>21</v>
      </c>
    </row>
    <row r="718" ht="15.75" customHeight="1">
      <c r="A718" s="12" t="s">
        <v>22</v>
      </c>
      <c r="B718" s="12" t="s">
        <v>23</v>
      </c>
      <c r="C718" s="13">
        <v>24.748368331960467</v>
      </c>
      <c r="D718" s="13">
        <v>88.48</v>
      </c>
      <c r="E718" s="13">
        <f t="shared" si="142"/>
        <v>24.67147132</v>
      </c>
      <c r="F718" s="13">
        <f t="shared" si="143"/>
        <v>74.01441395</v>
      </c>
      <c r="G718" s="12" t="s">
        <v>21</v>
      </c>
    </row>
    <row r="719" ht="15.75" customHeight="1">
      <c r="A719" s="12" t="s">
        <v>24</v>
      </c>
      <c r="B719" s="12" t="s">
        <v>195</v>
      </c>
      <c r="C719" s="13">
        <v>1.5091669624926352</v>
      </c>
      <c r="D719" s="13">
        <v>99.13</v>
      </c>
      <c r="E719" s="13">
        <f t="shared" si="142"/>
        <v>1.342844659</v>
      </c>
      <c r="F719" s="13">
        <f t="shared" si="143"/>
        <v>4.028533977</v>
      </c>
      <c r="G719" s="12" t="s">
        <v>21</v>
      </c>
    </row>
    <row r="720" ht="15.75" customHeight="1">
      <c r="A720" s="14" t="s">
        <v>24</v>
      </c>
      <c r="B720" s="14" t="s">
        <v>70</v>
      </c>
      <c r="C720" s="15">
        <v>1.0</v>
      </c>
      <c r="D720" s="15">
        <v>99.0</v>
      </c>
      <c r="E720" s="15">
        <f t="shared" si="142"/>
        <v>0.8909603932</v>
      </c>
      <c r="F720" s="15">
        <f t="shared" si="143"/>
        <v>2.67288118</v>
      </c>
      <c r="G720" s="14" t="s">
        <v>21</v>
      </c>
    </row>
    <row r="721" ht="15.75" customHeight="1">
      <c r="A721" s="16" t="s">
        <v>27</v>
      </c>
      <c r="B721" s="17"/>
      <c r="C721" s="18">
        <f>SUM(C717:C720)</f>
        <v>100</v>
      </c>
      <c r="D721" s="18"/>
      <c r="E721" s="18">
        <f t="shared" ref="E721:F721" si="144">SUM(E717:E720)</f>
        <v>100</v>
      </c>
      <c r="F721" s="18">
        <f t="shared" si="144"/>
        <v>300</v>
      </c>
      <c r="G721" s="16"/>
    </row>
    <row r="722" ht="15.75" customHeight="1">
      <c r="A722" s="19" t="s">
        <v>33</v>
      </c>
      <c r="B722" s="20">
        <v>18.686868686868692</v>
      </c>
      <c r="C722" s="19" t="s">
        <v>35</v>
      </c>
      <c r="D722" s="20">
        <v>82.55970014057368</v>
      </c>
      <c r="E722" s="19" t="s">
        <v>36</v>
      </c>
      <c r="F722" s="20">
        <v>14.271464883750525</v>
      </c>
      <c r="G722" s="19"/>
    </row>
    <row r="723" ht="15.75" customHeight="1">
      <c r="A723" s="19" t="s">
        <v>37</v>
      </c>
      <c r="B723" s="20">
        <v>0.6621859644219072</v>
      </c>
      <c r="C723" s="19" t="s">
        <v>38</v>
      </c>
      <c r="D723" s="20">
        <v>0.3233746113447897</v>
      </c>
      <c r="E723" s="19" t="s">
        <v>39</v>
      </c>
      <c r="F723" s="20">
        <v>2.047736405984788</v>
      </c>
      <c r="G723" s="19"/>
    </row>
    <row r="724" ht="15.75" customHeight="1">
      <c r="A724" s="19" t="s">
        <v>40</v>
      </c>
      <c r="B724" s="20">
        <v>3.4737314705011686</v>
      </c>
      <c r="C724" s="19" t="s">
        <v>41</v>
      </c>
      <c r="D724" s="20">
        <v>0.0</v>
      </c>
      <c r="E724" s="19" t="s">
        <v>42</v>
      </c>
      <c r="F724" s="20">
        <v>2.0</v>
      </c>
      <c r="G724" s="19"/>
    </row>
    <row r="725" ht="15.75" customHeight="1">
      <c r="A725" s="21" t="s">
        <v>449</v>
      </c>
    </row>
    <row r="726" ht="30.0" customHeight="1">
      <c r="A726" s="22" t="s">
        <v>450</v>
      </c>
      <c r="B726" s="23"/>
      <c r="C726" s="23"/>
      <c r="D726" s="23"/>
      <c r="E726" s="23"/>
      <c r="F726" s="23"/>
      <c r="G726" s="24"/>
    </row>
    <row r="727" ht="15.75" customHeight="1"/>
    <row r="728" ht="22.5" customHeight="1">
      <c r="A728" s="3" t="s">
        <v>451</v>
      </c>
    </row>
    <row r="729" ht="15.75" customHeight="1">
      <c r="A729" s="5" t="s">
        <v>452</v>
      </c>
      <c r="B729" s="6"/>
      <c r="C729" s="6"/>
      <c r="D729" s="6"/>
      <c r="E729" s="6"/>
      <c r="F729" s="6"/>
      <c r="G729" s="7"/>
    </row>
    <row r="730" ht="30.0" customHeight="1">
      <c r="A730" s="8" t="s">
        <v>9</v>
      </c>
      <c r="B730" s="8" t="s">
        <v>10</v>
      </c>
      <c r="C730" s="8" t="s">
        <v>11</v>
      </c>
      <c r="D730" s="8" t="s">
        <v>12</v>
      </c>
      <c r="E730" s="8" t="s">
        <v>13</v>
      </c>
      <c r="F730" s="8" t="s">
        <v>14</v>
      </c>
      <c r="G730" s="8" t="s">
        <v>15</v>
      </c>
    </row>
    <row r="731" ht="15.75" customHeight="1">
      <c r="A731" s="10" t="s">
        <v>16</v>
      </c>
      <c r="B731" s="10" t="s">
        <v>19</v>
      </c>
      <c r="C731" s="11">
        <v>94.8509298248693</v>
      </c>
      <c r="D731" s="11">
        <v>87.78</v>
      </c>
      <c r="E731" s="11">
        <f t="shared" ref="E731:E734" si="145">IF(D731&gt;0,(C731/D731)/SUMPRODUCT($C$731:$C$734/$D$731:$D$734)*100,"")</f>
        <v>95.12263912</v>
      </c>
      <c r="F731" s="11">
        <f t="shared" ref="F731:F734" si="146">IF(E731&lt;&gt;"",E731*3,"")</f>
        <v>285.3679174</v>
      </c>
      <c r="G731" s="10" t="s">
        <v>21</v>
      </c>
    </row>
    <row r="732" ht="15.75" customHeight="1">
      <c r="A732" s="12" t="s">
        <v>22</v>
      </c>
      <c r="B732" s="12" t="s">
        <v>23</v>
      </c>
      <c r="C732" s="13">
        <v>2.8404137555062396</v>
      </c>
      <c r="D732" s="13">
        <v>88.48</v>
      </c>
      <c r="E732" s="13">
        <f t="shared" si="145"/>
        <v>2.826014385</v>
      </c>
      <c r="F732" s="13">
        <f t="shared" si="146"/>
        <v>8.478043154</v>
      </c>
      <c r="G732" s="12" t="s">
        <v>21</v>
      </c>
    </row>
    <row r="733" ht="15.75" customHeight="1">
      <c r="A733" s="12" t="s">
        <v>24</v>
      </c>
      <c r="B733" s="12" t="s">
        <v>195</v>
      </c>
      <c r="C733" s="13">
        <v>1.3086564196244694</v>
      </c>
      <c r="D733" s="13">
        <v>99.13</v>
      </c>
      <c r="E733" s="13">
        <f t="shared" si="145"/>
        <v>1.162139891</v>
      </c>
      <c r="F733" s="13">
        <f t="shared" si="146"/>
        <v>3.486419672</v>
      </c>
      <c r="G733" s="12" t="s">
        <v>21</v>
      </c>
    </row>
    <row r="734" ht="15.75" customHeight="1">
      <c r="A734" s="14" t="s">
        <v>24</v>
      </c>
      <c r="B734" s="14" t="s">
        <v>70</v>
      </c>
      <c r="C734" s="15">
        <v>1.0</v>
      </c>
      <c r="D734" s="15">
        <v>99.0</v>
      </c>
      <c r="E734" s="15">
        <f t="shared" si="145"/>
        <v>0.8892066057</v>
      </c>
      <c r="F734" s="15">
        <f t="shared" si="146"/>
        <v>2.667619817</v>
      </c>
      <c r="G734" s="14" t="s">
        <v>21</v>
      </c>
    </row>
    <row r="735" ht="15.75" customHeight="1">
      <c r="A735" s="16" t="s">
        <v>27</v>
      </c>
      <c r="B735" s="17"/>
      <c r="C735" s="18">
        <f>SUM(C731:C734)</f>
        <v>100</v>
      </c>
      <c r="D735" s="18"/>
      <c r="E735" s="18">
        <f t="shared" ref="E735:F735" si="147">SUM(E731:E734)</f>
        <v>100</v>
      </c>
      <c r="F735" s="18">
        <f t="shared" si="147"/>
        <v>300</v>
      </c>
      <c r="G735" s="16"/>
    </row>
    <row r="736" ht="15.75" customHeight="1">
      <c r="A736" s="19" t="s">
        <v>33</v>
      </c>
      <c r="B736" s="20">
        <v>10.016420361247949</v>
      </c>
      <c r="C736" s="19" t="s">
        <v>35</v>
      </c>
      <c r="D736" s="20">
        <v>83.89332095315525</v>
      </c>
      <c r="E736" s="19" t="s">
        <v>36</v>
      </c>
      <c r="F736" s="20">
        <v>14.085620396020005</v>
      </c>
      <c r="G736" s="19"/>
    </row>
    <row r="737" ht="15.75" customHeight="1">
      <c r="A737" s="19" t="s">
        <v>37</v>
      </c>
      <c r="B737" s="20">
        <v>0.52229325088561</v>
      </c>
      <c r="C737" s="19" t="s">
        <v>38</v>
      </c>
      <c r="D737" s="20">
        <v>0.25371027989444617</v>
      </c>
      <c r="E737" s="19" t="s">
        <v>39</v>
      </c>
      <c r="F737" s="20">
        <v>2.0586207665803107</v>
      </c>
      <c r="G737" s="19"/>
    </row>
    <row r="738" ht="15.75" customHeight="1">
      <c r="A738" s="19" t="s">
        <v>40</v>
      </c>
      <c r="B738" s="20">
        <v>4.014476107400895</v>
      </c>
      <c r="C738" s="19" t="s">
        <v>41</v>
      </c>
      <c r="D738" s="20">
        <v>0.0</v>
      </c>
      <c r="E738" s="19" t="s">
        <v>42</v>
      </c>
      <c r="F738" s="20">
        <v>2.0</v>
      </c>
      <c r="G738" s="19"/>
    </row>
    <row r="739" ht="15.75" customHeight="1">
      <c r="A739" s="21" t="s">
        <v>454</v>
      </c>
    </row>
    <row r="740" ht="30.0" customHeight="1">
      <c r="A740" s="22" t="s">
        <v>455</v>
      </c>
      <c r="B740" s="23"/>
      <c r="C740" s="23"/>
      <c r="D740" s="23"/>
      <c r="E740" s="23"/>
      <c r="F740" s="23"/>
      <c r="G740" s="24"/>
    </row>
    <row r="741" ht="15.75" customHeight="1"/>
    <row r="742" ht="22.5" customHeight="1">
      <c r="A742" s="3" t="s">
        <v>457</v>
      </c>
    </row>
    <row r="743" ht="15.75" customHeight="1">
      <c r="A743" s="5" t="s">
        <v>458</v>
      </c>
      <c r="B743" s="6"/>
      <c r="C743" s="6"/>
      <c r="D743" s="6"/>
      <c r="E743" s="6"/>
      <c r="F743" s="6"/>
      <c r="G743" s="7"/>
    </row>
    <row r="744" ht="30.0" customHeight="1">
      <c r="A744" s="8" t="s">
        <v>9</v>
      </c>
      <c r="B744" s="8" t="s">
        <v>10</v>
      </c>
      <c r="C744" s="8" t="s">
        <v>11</v>
      </c>
      <c r="D744" s="8" t="s">
        <v>12</v>
      </c>
      <c r="E744" s="8" t="s">
        <v>13</v>
      </c>
      <c r="F744" s="8" t="s">
        <v>14</v>
      </c>
      <c r="G744" s="8" t="s">
        <v>15</v>
      </c>
    </row>
    <row r="745" ht="15.75" customHeight="1">
      <c r="A745" s="10" t="s">
        <v>16</v>
      </c>
      <c r="B745" s="10" t="s">
        <v>19</v>
      </c>
      <c r="C745" s="11">
        <v>82.80437910911265</v>
      </c>
      <c r="D745" s="11">
        <v>87.78</v>
      </c>
      <c r="E745" s="11">
        <f t="shared" ref="E745:E748" si="148">IF(D745&gt;0,(C745/D745)/SUMPRODUCT($C$745:$C$748/$D$745:$D$748)*100,"")</f>
        <v>83.13088505</v>
      </c>
      <c r="F745" s="11">
        <f t="shared" ref="F745:F748" si="149">IF(E745&lt;&gt;"",E745*3,"")</f>
        <v>249.3926552</v>
      </c>
      <c r="G745" s="10" t="s">
        <v>21</v>
      </c>
    </row>
    <row r="746" ht="15.75" customHeight="1">
      <c r="A746" s="12" t="s">
        <v>22</v>
      </c>
      <c r="B746" s="12" t="s">
        <v>23</v>
      </c>
      <c r="C746" s="13">
        <v>14.776111133724811</v>
      </c>
      <c r="D746" s="13">
        <v>88.48</v>
      </c>
      <c r="E746" s="13">
        <f t="shared" si="148"/>
        <v>14.71701426</v>
      </c>
      <c r="F746" s="13">
        <f t="shared" si="149"/>
        <v>44.15104277</v>
      </c>
      <c r="G746" s="12" t="s">
        <v>21</v>
      </c>
    </row>
    <row r="747" ht="15.75" customHeight="1">
      <c r="A747" s="12" t="s">
        <v>24</v>
      </c>
      <c r="B747" s="12" t="s">
        <v>195</v>
      </c>
      <c r="C747" s="13">
        <v>1.4195097571625432</v>
      </c>
      <c r="D747" s="13">
        <v>99.13</v>
      </c>
      <c r="E747" s="13">
        <f t="shared" si="148"/>
        <v>1.261937806</v>
      </c>
      <c r="F747" s="13">
        <f t="shared" si="149"/>
        <v>3.785813419</v>
      </c>
      <c r="G747" s="12" t="s">
        <v>21</v>
      </c>
    </row>
    <row r="748" ht="15.75" customHeight="1">
      <c r="A748" s="14" t="s">
        <v>24</v>
      </c>
      <c r="B748" s="14" t="s">
        <v>70</v>
      </c>
      <c r="C748" s="15">
        <v>1.0</v>
      </c>
      <c r="D748" s="15">
        <v>99.0</v>
      </c>
      <c r="E748" s="15">
        <f t="shared" si="148"/>
        <v>0.890162882</v>
      </c>
      <c r="F748" s="15">
        <f t="shared" si="149"/>
        <v>2.670488646</v>
      </c>
      <c r="G748" s="14" t="s">
        <v>21</v>
      </c>
    </row>
    <row r="749" ht="15.75" customHeight="1">
      <c r="A749" s="16" t="s">
        <v>27</v>
      </c>
      <c r="B749" s="17"/>
      <c r="C749" s="18">
        <f>SUM(C745:C748)</f>
        <v>100</v>
      </c>
      <c r="D749" s="18"/>
      <c r="E749" s="18">
        <f t="shared" ref="E749:F749" si="150">SUM(E745:E748)</f>
        <v>100</v>
      </c>
      <c r="F749" s="18">
        <f t="shared" si="150"/>
        <v>300</v>
      </c>
      <c r="G749" s="16"/>
    </row>
    <row r="750" ht="15.75" customHeight="1">
      <c r="A750" s="19" t="s">
        <v>33</v>
      </c>
      <c r="B750" s="20">
        <v>14.740030287733468</v>
      </c>
      <c r="C750" s="19" t="s">
        <v>35</v>
      </c>
      <c r="D750" s="20">
        <v>83.16536186582566</v>
      </c>
      <c r="E750" s="19" t="s">
        <v>36</v>
      </c>
      <c r="F750" s="20">
        <v>14.186638435054816</v>
      </c>
      <c r="G750" s="19"/>
    </row>
    <row r="751" ht="15.75" customHeight="1">
      <c r="A751" s="19" t="s">
        <v>37</v>
      </c>
      <c r="B751" s="20">
        <v>0.5991049925755991</v>
      </c>
      <c r="C751" s="19" t="s">
        <v>38</v>
      </c>
      <c r="D751" s="20">
        <v>0.2916606341621618</v>
      </c>
      <c r="E751" s="19" t="s">
        <v>39</v>
      </c>
      <c r="F751" s="20">
        <v>2.054116745294121</v>
      </c>
      <c r="G751" s="19"/>
    </row>
    <row r="752" ht="15.75" customHeight="1">
      <c r="A752" s="19" t="s">
        <v>40</v>
      </c>
      <c r="B752" s="20">
        <v>3.7198049916010922</v>
      </c>
      <c r="C752" s="19" t="s">
        <v>41</v>
      </c>
      <c r="D752" s="20">
        <v>0.0</v>
      </c>
      <c r="E752" s="19" t="s">
        <v>42</v>
      </c>
      <c r="F752" s="20">
        <v>2.0</v>
      </c>
      <c r="G752" s="19"/>
    </row>
    <row r="753" ht="15.75" customHeight="1">
      <c r="A753" s="21" t="s">
        <v>460</v>
      </c>
    </row>
    <row r="754" ht="30.0" customHeight="1">
      <c r="A754" s="22" t="s">
        <v>461</v>
      </c>
      <c r="B754" s="23"/>
      <c r="C754" s="23"/>
      <c r="D754" s="23"/>
      <c r="E754" s="23"/>
      <c r="F754" s="23"/>
      <c r="G754" s="24"/>
    </row>
    <row r="755" ht="15.75" customHeight="1"/>
    <row r="756" ht="22.5" customHeight="1">
      <c r="A756" s="3" t="s">
        <v>462</v>
      </c>
    </row>
    <row r="757" ht="15.75" customHeight="1">
      <c r="A757" s="5" t="s">
        <v>8</v>
      </c>
      <c r="B757" s="6"/>
      <c r="C757" s="6"/>
      <c r="D757" s="6"/>
      <c r="E757" s="6"/>
      <c r="F757" s="6"/>
      <c r="G757" s="7"/>
    </row>
    <row r="758" ht="30.0" customHeight="1">
      <c r="A758" s="8" t="s">
        <v>9</v>
      </c>
      <c r="B758" s="8" t="s">
        <v>10</v>
      </c>
      <c r="C758" s="8" t="s">
        <v>11</v>
      </c>
      <c r="D758" s="8" t="s">
        <v>12</v>
      </c>
      <c r="E758" s="8" t="s">
        <v>13</v>
      </c>
      <c r="F758" s="8" t="s">
        <v>14</v>
      </c>
      <c r="G758" s="8" t="s">
        <v>15</v>
      </c>
    </row>
    <row r="759" ht="15.75" customHeight="1">
      <c r="A759" s="10" t="s">
        <v>16</v>
      </c>
      <c r="B759" s="10" t="s">
        <v>19</v>
      </c>
      <c r="C759" s="11">
        <v>59.812051828460866</v>
      </c>
      <c r="D759" s="11">
        <v>87.78</v>
      </c>
      <c r="E759" s="11">
        <f t="shared" ref="E759:E763" si="151">IF(D759&gt;0,(C759/D759)/SUMPRODUCT($C$759:$C$763/$D$759:$D$763)*100,"")</f>
        <v>60.14954095</v>
      </c>
      <c r="F759" s="11">
        <f t="shared" ref="F759:F763" si="152">IF(E759&lt;&gt;"",E759*3,"")</f>
        <v>180.4486228</v>
      </c>
      <c r="G759" s="10" t="s">
        <v>21</v>
      </c>
    </row>
    <row r="760" ht="15.75" customHeight="1">
      <c r="A760" s="12" t="s">
        <v>16</v>
      </c>
      <c r="B760" s="12" t="s">
        <v>17</v>
      </c>
      <c r="C760" s="13">
        <v>15.459505801261109</v>
      </c>
      <c r="D760" s="13">
        <v>88.05</v>
      </c>
      <c r="E760" s="13">
        <f t="shared" si="151"/>
        <v>15.49906284</v>
      </c>
      <c r="F760" s="13">
        <f t="shared" si="152"/>
        <v>46.49718851</v>
      </c>
      <c r="G760" s="12" t="s">
        <v>21</v>
      </c>
    </row>
    <row r="761" ht="15.75" customHeight="1">
      <c r="A761" s="12" t="s">
        <v>22</v>
      </c>
      <c r="B761" s="12" t="s">
        <v>23</v>
      </c>
      <c r="C761" s="13">
        <v>21.733602496519374</v>
      </c>
      <c r="D761" s="13">
        <v>88.48</v>
      </c>
      <c r="E761" s="13">
        <f t="shared" si="151"/>
        <v>21.68332096</v>
      </c>
      <c r="F761" s="13">
        <f t="shared" si="152"/>
        <v>65.04996289</v>
      </c>
      <c r="G761" s="12" t="s">
        <v>21</v>
      </c>
    </row>
    <row r="762" ht="15.75" customHeight="1">
      <c r="A762" s="12" t="s">
        <v>24</v>
      </c>
      <c r="B762" s="12" t="s">
        <v>195</v>
      </c>
      <c r="C762" s="13">
        <v>1.9948398737586512</v>
      </c>
      <c r="D762" s="13">
        <v>99.13</v>
      </c>
      <c r="E762" s="13">
        <f t="shared" si="151"/>
        <v>1.776405573</v>
      </c>
      <c r="F762" s="13">
        <f t="shared" si="152"/>
        <v>5.32921672</v>
      </c>
      <c r="G762" s="12" t="s">
        <v>21</v>
      </c>
    </row>
    <row r="763" ht="15.75" customHeight="1">
      <c r="A763" s="14" t="s">
        <v>24</v>
      </c>
      <c r="B763" s="14" t="s">
        <v>70</v>
      </c>
      <c r="C763" s="15">
        <v>1.0</v>
      </c>
      <c r="D763" s="15">
        <v>99.0</v>
      </c>
      <c r="E763" s="15">
        <f t="shared" si="151"/>
        <v>0.8916696776</v>
      </c>
      <c r="F763" s="15">
        <f t="shared" si="152"/>
        <v>2.675009033</v>
      </c>
      <c r="G763" s="14" t="s">
        <v>21</v>
      </c>
    </row>
    <row r="764" ht="15.75" customHeight="1">
      <c r="A764" s="16" t="s">
        <v>27</v>
      </c>
      <c r="B764" s="17"/>
      <c r="C764" s="18">
        <f>SUM(C759:C763)</f>
        <v>100</v>
      </c>
      <c r="D764" s="18"/>
      <c r="E764" s="18">
        <f t="shared" ref="E764:F764" si="153">SUM(E759:E763)</f>
        <v>100</v>
      </c>
      <c r="F764" s="18">
        <f t="shared" si="153"/>
        <v>300</v>
      </c>
      <c r="G764" s="16"/>
    </row>
    <row r="765" ht="15.75" customHeight="1">
      <c r="A765" s="19" t="s">
        <v>33</v>
      </c>
      <c r="B765" s="20">
        <v>18.686868686868692</v>
      </c>
      <c r="C765" s="19" t="s">
        <v>35</v>
      </c>
      <c r="D765" s="20">
        <v>80.03220287266478</v>
      </c>
      <c r="E765" s="19" t="s">
        <v>36</v>
      </c>
      <c r="F765" s="20">
        <v>18.74340771206493</v>
      </c>
      <c r="G765" s="19"/>
    </row>
    <row r="766" ht="15.75" customHeight="1">
      <c r="A766" s="19" t="s">
        <v>37</v>
      </c>
      <c r="B766" s="20">
        <v>0.857527286074901</v>
      </c>
      <c r="C766" s="19" t="s">
        <v>38</v>
      </c>
      <c r="D766" s="20">
        <v>0.4208754208754207</v>
      </c>
      <c r="E766" s="19" t="s">
        <v>39</v>
      </c>
      <c r="F766" s="20">
        <v>2.0374848317139658</v>
      </c>
      <c r="G766" s="19"/>
    </row>
    <row r="767" ht="15.75" customHeight="1">
      <c r="A767" s="19" t="s">
        <v>40</v>
      </c>
      <c r="B767" s="20">
        <v>3.4339321178039013</v>
      </c>
      <c r="C767" s="19" t="s">
        <v>41</v>
      </c>
      <c r="D767" s="20">
        <v>0.0</v>
      </c>
      <c r="E767" s="19" t="s">
        <v>42</v>
      </c>
      <c r="F767" s="20">
        <v>1.0</v>
      </c>
      <c r="G767" s="19"/>
    </row>
    <row r="768" ht="15.75" customHeight="1">
      <c r="A768" s="21" t="s">
        <v>464</v>
      </c>
    </row>
    <row r="769" ht="30.0" customHeight="1">
      <c r="A769" s="22" t="s">
        <v>465</v>
      </c>
      <c r="B769" s="23"/>
      <c r="C769" s="23"/>
      <c r="D769" s="23"/>
      <c r="E769" s="23"/>
      <c r="F769" s="23"/>
      <c r="G769" s="24"/>
    </row>
    <row r="770" ht="15.75" customHeight="1"/>
    <row r="771" ht="22.5" customHeight="1">
      <c r="A771" s="3" t="s">
        <v>466</v>
      </c>
    </row>
    <row r="772" ht="15.75" customHeight="1">
      <c r="A772" s="5" t="s">
        <v>8</v>
      </c>
      <c r="B772" s="6"/>
      <c r="C772" s="6"/>
      <c r="D772" s="6"/>
      <c r="E772" s="6"/>
      <c r="F772" s="6"/>
      <c r="G772" s="7"/>
    </row>
    <row r="773" ht="30.0" customHeight="1">
      <c r="A773" s="8" t="s">
        <v>9</v>
      </c>
      <c r="B773" s="8" t="s">
        <v>10</v>
      </c>
      <c r="C773" s="8" t="s">
        <v>11</v>
      </c>
      <c r="D773" s="8" t="s">
        <v>12</v>
      </c>
      <c r="E773" s="8" t="s">
        <v>13</v>
      </c>
      <c r="F773" s="8" t="s">
        <v>14</v>
      </c>
      <c r="G773" s="8" t="s">
        <v>15</v>
      </c>
    </row>
    <row r="774" ht="15.75" customHeight="1">
      <c r="A774" s="10" t="s">
        <v>16</v>
      </c>
      <c r="B774" s="10" t="s">
        <v>19</v>
      </c>
      <c r="C774" s="11">
        <v>58.35983064106198</v>
      </c>
      <c r="D774" s="11">
        <v>87.78</v>
      </c>
      <c r="E774" s="11">
        <f t="shared" ref="E774:E778" si="154">IF(D774&gt;0,(C774/D774)/SUMPRODUCT($C$774:$C$778/$D$774:$D$778)*100,"")</f>
        <v>58.82962957</v>
      </c>
      <c r="F774" s="11">
        <f t="shared" ref="F774:F778" si="155">IF(E774&lt;&gt;"",E774*3,"")</f>
        <v>176.4888887</v>
      </c>
      <c r="G774" s="10" t="s">
        <v>21</v>
      </c>
    </row>
    <row r="775" ht="15.75" customHeight="1">
      <c r="A775" s="12" t="s">
        <v>16</v>
      </c>
      <c r="B775" s="12" t="s">
        <v>34</v>
      </c>
      <c r="C775" s="13">
        <v>14.704834587786916</v>
      </c>
      <c r="D775" s="13">
        <v>88.98</v>
      </c>
      <c r="E775" s="13">
        <f t="shared" si="154"/>
        <v>14.62330067</v>
      </c>
      <c r="F775" s="13">
        <f t="shared" si="155"/>
        <v>43.869902</v>
      </c>
      <c r="G775" s="12" t="s">
        <v>21</v>
      </c>
    </row>
    <row r="776" ht="15.75" customHeight="1">
      <c r="A776" s="12" t="s">
        <v>22</v>
      </c>
      <c r="B776" s="12" t="s">
        <v>23</v>
      </c>
      <c r="C776" s="13">
        <v>23.29194074985419</v>
      </c>
      <c r="D776" s="13">
        <v>88.48</v>
      </c>
      <c r="E776" s="13">
        <f t="shared" si="154"/>
        <v>23.29368671</v>
      </c>
      <c r="F776" s="13">
        <f t="shared" si="155"/>
        <v>69.88106013</v>
      </c>
      <c r="G776" s="12" t="s">
        <v>21</v>
      </c>
    </row>
    <row r="777" ht="15.75" customHeight="1">
      <c r="A777" s="12" t="s">
        <v>24</v>
      </c>
      <c r="B777" s="12" t="s">
        <v>195</v>
      </c>
      <c r="C777" s="13">
        <v>2.643394021296905</v>
      </c>
      <c r="D777" s="13">
        <v>99.13</v>
      </c>
      <c r="E777" s="13">
        <f t="shared" si="154"/>
        <v>2.359578686</v>
      </c>
      <c r="F777" s="13">
        <f t="shared" si="155"/>
        <v>7.078736059</v>
      </c>
      <c r="G777" s="12" t="s">
        <v>21</v>
      </c>
    </row>
    <row r="778" ht="15.75" customHeight="1">
      <c r="A778" s="14" t="s">
        <v>24</v>
      </c>
      <c r="B778" s="14" t="s">
        <v>70</v>
      </c>
      <c r="C778" s="15">
        <v>1.0</v>
      </c>
      <c r="D778" s="15">
        <v>99.0</v>
      </c>
      <c r="E778" s="15">
        <f t="shared" si="154"/>
        <v>0.8938043681</v>
      </c>
      <c r="F778" s="15">
        <f t="shared" si="155"/>
        <v>2.681413104</v>
      </c>
      <c r="G778" s="14" t="s">
        <v>21</v>
      </c>
    </row>
    <row r="779" ht="15.75" customHeight="1">
      <c r="A779" s="16" t="s">
        <v>27</v>
      </c>
      <c r="B779" s="17"/>
      <c r="C779" s="18">
        <f>SUM(C774:C778)</f>
        <v>100</v>
      </c>
      <c r="D779" s="18"/>
      <c r="E779" s="18">
        <f t="shared" ref="E779:F779" si="156">SUM(E774:E778)</f>
        <v>100</v>
      </c>
      <c r="F779" s="18">
        <f t="shared" si="156"/>
        <v>300</v>
      </c>
      <c r="G779" s="16"/>
    </row>
    <row r="780" ht="15.75" customHeight="1">
      <c r="A780" s="19" t="s">
        <v>33</v>
      </c>
      <c r="B780" s="20">
        <v>18.686868686868685</v>
      </c>
      <c r="C780" s="19" t="s">
        <v>35</v>
      </c>
      <c r="D780" s="20">
        <v>81.29055343212376</v>
      </c>
      <c r="E780" s="19" t="s">
        <v>36</v>
      </c>
      <c r="F780" s="20">
        <v>15.570342012297756</v>
      </c>
      <c r="G780" s="19"/>
    </row>
    <row r="781" ht="15.75" customHeight="1">
      <c r="A781" s="19" t="s">
        <v>37</v>
      </c>
      <c r="B781" s="20">
        <v>1.0891311383975173</v>
      </c>
      <c r="C781" s="19" t="s">
        <v>38</v>
      </c>
      <c r="D781" s="20">
        <v>0.5323798119931479</v>
      </c>
      <c r="E781" s="19" t="s">
        <v>39</v>
      </c>
      <c r="F781" s="20">
        <v>2.045778434610393</v>
      </c>
      <c r="G781" s="19"/>
    </row>
    <row r="782" ht="15.75" customHeight="1">
      <c r="A782" s="19" t="s">
        <v>40</v>
      </c>
      <c r="B782" s="20">
        <v>5.1762956826242865</v>
      </c>
      <c r="C782" s="19" t="s">
        <v>41</v>
      </c>
      <c r="D782" s="20">
        <v>0.0</v>
      </c>
      <c r="E782" s="19" t="s">
        <v>42</v>
      </c>
      <c r="F782" s="20">
        <v>1.0</v>
      </c>
      <c r="G782" s="19"/>
    </row>
    <row r="783" ht="15.75" customHeight="1">
      <c r="A783" s="21" t="s">
        <v>468</v>
      </c>
    </row>
    <row r="784" ht="30.0" customHeight="1">
      <c r="A784" s="22" t="s">
        <v>469</v>
      </c>
      <c r="B784" s="23"/>
      <c r="C784" s="23"/>
      <c r="D784" s="23"/>
      <c r="E784" s="23"/>
      <c r="F784" s="23"/>
      <c r="G784" s="24"/>
    </row>
    <row r="785" ht="15.75" customHeight="1"/>
    <row r="786" ht="22.5" customHeight="1">
      <c r="A786" s="3" t="s">
        <v>470</v>
      </c>
    </row>
    <row r="787" ht="15.75" customHeight="1">
      <c r="A787" s="5" t="s">
        <v>8</v>
      </c>
      <c r="B787" s="6"/>
      <c r="C787" s="6"/>
      <c r="D787" s="6"/>
      <c r="E787" s="6"/>
      <c r="F787" s="6"/>
      <c r="G787" s="7"/>
    </row>
    <row r="788" ht="30.0" customHeight="1">
      <c r="A788" s="8" t="s">
        <v>9</v>
      </c>
      <c r="B788" s="8" t="s">
        <v>10</v>
      </c>
      <c r="C788" s="8" t="s">
        <v>11</v>
      </c>
      <c r="D788" s="8" t="s">
        <v>12</v>
      </c>
      <c r="E788" s="8" t="s">
        <v>13</v>
      </c>
      <c r="F788" s="8" t="s">
        <v>14</v>
      </c>
      <c r="G788" s="8" t="s">
        <v>15</v>
      </c>
    </row>
    <row r="789" ht="15.75" customHeight="1">
      <c r="A789" s="10" t="s">
        <v>16</v>
      </c>
      <c r="B789" s="10" t="s">
        <v>19</v>
      </c>
      <c r="C789" s="11">
        <v>72.74246470554691</v>
      </c>
      <c r="D789" s="11">
        <v>87.78</v>
      </c>
      <c r="E789" s="11">
        <f t="shared" ref="E789:E792" si="157">IF(D789&gt;0,(C789/D789)/SUMPRODUCT($C$789:$C$792/$D$789:$D$792)*100,"")</f>
        <v>73.09472363</v>
      </c>
      <c r="F789" s="11">
        <f t="shared" ref="F789:F792" si="158">IF(E789&lt;&gt;"",E789*3,"")</f>
        <v>219.2841709</v>
      </c>
      <c r="G789" s="10" t="s">
        <v>21</v>
      </c>
    </row>
    <row r="790" ht="15.75" customHeight="1">
      <c r="A790" s="12" t="s">
        <v>22</v>
      </c>
      <c r="B790" s="12" t="s">
        <v>23</v>
      </c>
      <c r="C790" s="13">
        <v>24.748368331960467</v>
      </c>
      <c r="D790" s="13">
        <v>88.48</v>
      </c>
      <c r="E790" s="13">
        <f t="shared" si="157"/>
        <v>24.67147132</v>
      </c>
      <c r="F790" s="13">
        <f t="shared" si="158"/>
        <v>74.01441395</v>
      </c>
      <c r="G790" s="12" t="s">
        <v>21</v>
      </c>
    </row>
    <row r="791" ht="15.75" customHeight="1">
      <c r="A791" s="12" t="s">
        <v>24</v>
      </c>
      <c r="B791" s="12" t="s">
        <v>195</v>
      </c>
      <c r="C791" s="13">
        <v>1.5091669624926352</v>
      </c>
      <c r="D791" s="13">
        <v>99.13</v>
      </c>
      <c r="E791" s="13">
        <f t="shared" si="157"/>
        <v>1.342844659</v>
      </c>
      <c r="F791" s="13">
        <f t="shared" si="158"/>
        <v>4.028533977</v>
      </c>
      <c r="G791" s="12" t="s">
        <v>21</v>
      </c>
    </row>
    <row r="792" ht="15.75" customHeight="1">
      <c r="A792" s="14" t="s">
        <v>24</v>
      </c>
      <c r="B792" s="14" t="s">
        <v>70</v>
      </c>
      <c r="C792" s="15">
        <v>1.0</v>
      </c>
      <c r="D792" s="15">
        <v>99.0</v>
      </c>
      <c r="E792" s="15">
        <f t="shared" si="157"/>
        <v>0.8909603932</v>
      </c>
      <c r="F792" s="15">
        <f t="shared" si="158"/>
        <v>2.67288118</v>
      </c>
      <c r="G792" s="14" t="s">
        <v>21</v>
      </c>
    </row>
    <row r="793" ht="15.75" customHeight="1">
      <c r="A793" s="16" t="s">
        <v>27</v>
      </c>
      <c r="B793" s="17"/>
      <c r="C793" s="18">
        <f>SUM(C789:C792)</f>
        <v>100</v>
      </c>
      <c r="D793" s="18"/>
      <c r="E793" s="18">
        <f t="shared" ref="E793:F793" si="159">SUM(E789:E792)</f>
        <v>100</v>
      </c>
      <c r="F793" s="18">
        <f t="shared" si="159"/>
        <v>300</v>
      </c>
      <c r="G793" s="16"/>
    </row>
    <row r="794" ht="15.75" customHeight="1">
      <c r="A794" s="19" t="s">
        <v>33</v>
      </c>
      <c r="B794" s="20">
        <v>18.686868686868692</v>
      </c>
      <c r="C794" s="19" t="s">
        <v>35</v>
      </c>
      <c r="D794" s="20">
        <v>82.55970014057368</v>
      </c>
      <c r="E794" s="19" t="s">
        <v>36</v>
      </c>
      <c r="F794" s="20">
        <v>14.271464883750525</v>
      </c>
      <c r="G794" s="19"/>
    </row>
    <row r="795" ht="15.75" customHeight="1">
      <c r="A795" s="19" t="s">
        <v>37</v>
      </c>
      <c r="B795" s="20">
        <v>0.6621859644219072</v>
      </c>
      <c r="C795" s="19" t="s">
        <v>38</v>
      </c>
      <c r="D795" s="20">
        <v>0.3233746113447897</v>
      </c>
      <c r="E795" s="19" t="s">
        <v>39</v>
      </c>
      <c r="F795" s="20">
        <v>2.047736405984788</v>
      </c>
      <c r="G795" s="19"/>
    </row>
    <row r="796" ht="15.75" customHeight="1">
      <c r="A796" s="19" t="s">
        <v>40</v>
      </c>
      <c r="B796" s="20">
        <v>3.4737314705011686</v>
      </c>
      <c r="C796" s="19" t="s">
        <v>41</v>
      </c>
      <c r="D796" s="20">
        <v>0.0</v>
      </c>
      <c r="E796" s="19" t="s">
        <v>42</v>
      </c>
      <c r="F796" s="20">
        <v>2.0</v>
      </c>
      <c r="G796" s="19"/>
    </row>
    <row r="797" ht="15.75" customHeight="1">
      <c r="A797" s="21" t="s">
        <v>449</v>
      </c>
    </row>
    <row r="798" ht="30.0" customHeight="1">
      <c r="A798" s="22" t="s">
        <v>450</v>
      </c>
      <c r="B798" s="23"/>
      <c r="C798" s="23"/>
      <c r="D798" s="23"/>
      <c r="E798" s="23"/>
      <c r="F798" s="23"/>
      <c r="G798" s="24"/>
    </row>
    <row r="799" ht="15.75" customHeight="1"/>
    <row r="800" ht="22.5" customHeight="1">
      <c r="A800" s="3" t="s">
        <v>472</v>
      </c>
    </row>
    <row r="801" ht="15.75" customHeight="1">
      <c r="A801" s="5" t="s">
        <v>8</v>
      </c>
      <c r="B801" s="6"/>
      <c r="C801" s="6"/>
      <c r="D801" s="6"/>
      <c r="E801" s="6"/>
      <c r="F801" s="6"/>
      <c r="G801" s="7"/>
    </row>
    <row r="802" ht="30.0" customHeight="1">
      <c r="A802" s="8" t="s">
        <v>9</v>
      </c>
      <c r="B802" s="8" t="s">
        <v>10</v>
      </c>
      <c r="C802" s="8" t="s">
        <v>11</v>
      </c>
      <c r="D802" s="8" t="s">
        <v>12</v>
      </c>
      <c r="E802" s="8" t="s">
        <v>13</v>
      </c>
      <c r="F802" s="8" t="s">
        <v>14</v>
      </c>
      <c r="G802" s="8" t="s">
        <v>15</v>
      </c>
    </row>
    <row r="803" ht="15.75" customHeight="1">
      <c r="A803" s="10" t="s">
        <v>16</v>
      </c>
      <c r="B803" s="10" t="s">
        <v>17</v>
      </c>
      <c r="C803" s="11">
        <v>9.12</v>
      </c>
      <c r="D803" s="11">
        <v>88.05</v>
      </c>
      <c r="E803" s="11">
        <f t="shared" ref="E803:E806" si="160">IF(D803&gt;0,(C803/D803)/SUMPRODUCT($C$803:$C$806/$D$803:$D$806)*100,"")</f>
        <v>9.131621776</v>
      </c>
      <c r="F803" s="11">
        <f t="shared" ref="F803:F806" si="161">IF(E803&lt;&gt;"",E803*3,"")</f>
        <v>27.39486533</v>
      </c>
      <c r="G803" s="10" t="s">
        <v>21</v>
      </c>
    </row>
    <row r="804" ht="15.75" customHeight="1">
      <c r="A804" s="12" t="s">
        <v>16</v>
      </c>
      <c r="B804" s="12" t="s">
        <v>19</v>
      </c>
      <c r="C804" s="13">
        <v>66.26</v>
      </c>
      <c r="D804" s="13">
        <v>87.78</v>
      </c>
      <c r="E804" s="13">
        <f t="shared" si="160"/>
        <v>66.54850324</v>
      </c>
      <c r="F804" s="13">
        <f t="shared" si="161"/>
        <v>199.6455097</v>
      </c>
      <c r="G804" s="12" t="s">
        <v>21</v>
      </c>
    </row>
    <row r="805" ht="15.75" customHeight="1">
      <c r="A805" s="12" t="s">
        <v>22</v>
      </c>
      <c r="B805" s="12" t="s">
        <v>23</v>
      </c>
      <c r="C805" s="13">
        <v>22.76</v>
      </c>
      <c r="D805" s="13">
        <v>88.48</v>
      </c>
      <c r="E805" s="13">
        <f t="shared" si="160"/>
        <v>22.67825221</v>
      </c>
      <c r="F805" s="13">
        <f t="shared" si="161"/>
        <v>68.03475662</v>
      </c>
      <c r="G805" s="12" t="s">
        <v>21</v>
      </c>
    </row>
    <row r="806" ht="15.75" customHeight="1">
      <c r="A806" s="14" t="s">
        <v>24</v>
      </c>
      <c r="B806" s="14" t="s">
        <v>26</v>
      </c>
      <c r="C806" s="15">
        <v>1.86</v>
      </c>
      <c r="D806" s="15">
        <v>99.89</v>
      </c>
      <c r="E806" s="15">
        <f t="shared" si="160"/>
        <v>1.641622773</v>
      </c>
      <c r="F806" s="15">
        <f t="shared" si="161"/>
        <v>4.924868319</v>
      </c>
      <c r="G806" s="14" t="s">
        <v>21</v>
      </c>
    </row>
    <row r="807" ht="15.75" customHeight="1">
      <c r="A807" s="16" t="s">
        <v>27</v>
      </c>
      <c r="B807" s="17"/>
      <c r="C807" s="18">
        <f>SUM(C803:C806)</f>
        <v>100</v>
      </c>
      <c r="D807" s="18"/>
      <c r="E807" s="18">
        <f t="shared" ref="E807:F807" si="162">SUM(E803:E806)</f>
        <v>100</v>
      </c>
      <c r="F807" s="18">
        <f t="shared" si="162"/>
        <v>300</v>
      </c>
      <c r="G807" s="16"/>
    </row>
    <row r="808" ht="15.75" customHeight="1">
      <c r="A808" s="19" t="s">
        <v>33</v>
      </c>
      <c r="B808" s="20">
        <v>18.688779999999998</v>
      </c>
      <c r="C808" s="19" t="s">
        <v>35</v>
      </c>
      <c r="D808" s="20">
        <v>81.88474599999999</v>
      </c>
      <c r="E808" s="19" t="s">
        <v>36</v>
      </c>
      <c r="F808" s="20">
        <v>17.042178000000003</v>
      </c>
      <c r="G808" s="19"/>
    </row>
    <row r="809" ht="15.75" customHeight="1">
      <c r="A809" s="19" t="s">
        <v>37</v>
      </c>
      <c r="B809" s="20">
        <v>0.8070240000000001</v>
      </c>
      <c r="C809" s="19" t="s">
        <v>38</v>
      </c>
      <c r="D809" s="20">
        <v>0.38220800000000005</v>
      </c>
      <c r="E809" s="19" t="s">
        <v>39</v>
      </c>
      <c r="F809" s="20">
        <v>2.1114785666443403</v>
      </c>
      <c r="G809" s="19"/>
    </row>
    <row r="810" ht="15.75" customHeight="1">
      <c r="A810" s="19" t="s">
        <v>40</v>
      </c>
      <c r="B810" s="20">
        <v>3.494464</v>
      </c>
      <c r="C810" s="19" t="s">
        <v>41</v>
      </c>
      <c r="D810" s="20">
        <v>0.0</v>
      </c>
      <c r="E810" s="19" t="s">
        <v>42</v>
      </c>
      <c r="F810" s="20">
        <v>2.0</v>
      </c>
      <c r="G810" s="19"/>
    </row>
    <row r="811" ht="15.75" customHeight="1">
      <c r="A811" s="21" t="s">
        <v>44</v>
      </c>
    </row>
    <row r="812" ht="30.0" customHeight="1">
      <c r="A812" s="22" t="s">
        <v>46</v>
      </c>
      <c r="B812" s="23"/>
      <c r="C812" s="23"/>
      <c r="D812" s="23"/>
      <c r="E812" s="23"/>
      <c r="F812" s="23"/>
      <c r="G812" s="24"/>
    </row>
    <row r="813" ht="15.75" customHeight="1"/>
    <row r="814" ht="22.5" customHeight="1">
      <c r="A814" s="3" t="s">
        <v>475</v>
      </c>
    </row>
    <row r="815" ht="15.75" customHeight="1">
      <c r="A815" s="5" t="s">
        <v>124</v>
      </c>
      <c r="B815" s="6"/>
      <c r="C815" s="6"/>
      <c r="D815" s="6"/>
      <c r="E815" s="6"/>
      <c r="F815" s="6"/>
      <c r="G815" s="7"/>
    </row>
    <row r="816" ht="30.0" customHeight="1">
      <c r="A816" s="8" t="s">
        <v>9</v>
      </c>
      <c r="B816" s="8" t="s">
        <v>10</v>
      </c>
      <c r="C816" s="8" t="s">
        <v>11</v>
      </c>
      <c r="D816" s="8" t="s">
        <v>12</v>
      </c>
      <c r="E816" s="8" t="s">
        <v>13</v>
      </c>
      <c r="F816" s="8" t="s">
        <v>14</v>
      </c>
      <c r="G816" s="8" t="s">
        <v>15</v>
      </c>
    </row>
    <row r="817" ht="15.75" customHeight="1">
      <c r="A817" s="10" t="s">
        <v>16</v>
      </c>
      <c r="B817" s="10" t="s">
        <v>19</v>
      </c>
      <c r="C817" s="11">
        <v>49.2</v>
      </c>
      <c r="D817" s="11">
        <v>87.78</v>
      </c>
      <c r="E817" s="11">
        <f t="shared" ref="E817:E820" si="163">IF(D817&gt;0,(C817/D817)/SUMPRODUCT($C$817:$C$820/$D$817:$D$820)*100,"")</f>
        <v>49.96938673</v>
      </c>
      <c r="F817" s="11">
        <f t="shared" ref="F817:F820" si="164">IF(E817&lt;&gt;"",E817*3,"")</f>
        <v>149.9081602</v>
      </c>
      <c r="G817" s="10" t="s">
        <v>21</v>
      </c>
    </row>
    <row r="818" ht="15.75" customHeight="1">
      <c r="A818" s="12" t="s">
        <v>16</v>
      </c>
      <c r="B818" s="12" t="s">
        <v>52</v>
      </c>
      <c r="C818" s="13">
        <v>41.83</v>
      </c>
      <c r="D818" s="13">
        <v>90.57</v>
      </c>
      <c r="E818" s="13">
        <f t="shared" si="163"/>
        <v>41.17541547</v>
      </c>
      <c r="F818" s="13">
        <f t="shared" si="164"/>
        <v>123.5262464</v>
      </c>
      <c r="G818" s="12" t="s">
        <v>21</v>
      </c>
    </row>
    <row r="819" ht="15.75" customHeight="1">
      <c r="A819" s="12" t="s">
        <v>22</v>
      </c>
      <c r="B819" s="12" t="s">
        <v>23</v>
      </c>
      <c r="C819" s="13">
        <v>7.380000000000001</v>
      </c>
      <c r="D819" s="13">
        <v>88.48</v>
      </c>
      <c r="E819" s="13">
        <f t="shared" si="163"/>
        <v>7.436108896</v>
      </c>
      <c r="F819" s="13">
        <f t="shared" si="164"/>
        <v>22.30832669</v>
      </c>
      <c r="G819" s="12" t="s">
        <v>21</v>
      </c>
    </row>
    <row r="820" ht="15.75" customHeight="1">
      <c r="A820" s="14" t="s">
        <v>24</v>
      </c>
      <c r="B820" s="14" t="s">
        <v>26</v>
      </c>
      <c r="C820" s="15">
        <v>1.59</v>
      </c>
      <c r="D820" s="15">
        <v>99.89</v>
      </c>
      <c r="E820" s="15">
        <f t="shared" si="163"/>
        <v>1.419088904</v>
      </c>
      <c r="F820" s="15">
        <f t="shared" si="164"/>
        <v>4.257266713</v>
      </c>
      <c r="G820" s="14" t="s">
        <v>21</v>
      </c>
    </row>
    <row r="821" ht="15.75" customHeight="1">
      <c r="A821" s="16" t="s">
        <v>27</v>
      </c>
      <c r="B821" s="17"/>
      <c r="C821" s="18">
        <f>SUM(C817:C820)</f>
        <v>100</v>
      </c>
      <c r="D821" s="18"/>
      <c r="E821" s="18">
        <f t="shared" ref="E821:F821" si="165">SUM(E817:E820)</f>
        <v>100</v>
      </c>
      <c r="F821" s="18">
        <f t="shared" si="165"/>
        <v>300</v>
      </c>
      <c r="G821" s="16"/>
    </row>
    <row r="822" ht="15.75" customHeight="1">
      <c r="A822" s="19" t="s">
        <v>33</v>
      </c>
      <c r="B822" s="20">
        <v>14.019730999999998</v>
      </c>
      <c r="C822" s="19" t="s">
        <v>35</v>
      </c>
      <c r="D822" s="20">
        <v>79.75752600000001</v>
      </c>
      <c r="E822" s="19" t="s">
        <v>36</v>
      </c>
      <c r="F822" s="20">
        <v>19.796913000000004</v>
      </c>
      <c r="G822" s="19"/>
    </row>
    <row r="823" ht="15.75" customHeight="1">
      <c r="A823" s="19" t="s">
        <v>37</v>
      </c>
      <c r="B823" s="20">
        <v>0.687358</v>
      </c>
      <c r="C823" s="19" t="s">
        <v>38</v>
      </c>
      <c r="D823" s="20">
        <v>0.31163</v>
      </c>
      <c r="E823" s="19" t="s">
        <v>39</v>
      </c>
      <c r="F823" s="20">
        <v>2.2056862304656164</v>
      </c>
      <c r="G823" s="19"/>
    </row>
    <row r="824" ht="15.75" customHeight="1">
      <c r="A824" s="19" t="s">
        <v>40</v>
      </c>
      <c r="B824" s="20">
        <v>4.331588999999999</v>
      </c>
      <c r="C824" s="19" t="s">
        <v>41</v>
      </c>
      <c r="D824" s="20">
        <v>0.0</v>
      </c>
      <c r="E824" s="19" t="s">
        <v>42</v>
      </c>
      <c r="F824" s="20">
        <v>1.0</v>
      </c>
      <c r="G824" s="19"/>
    </row>
    <row r="825" ht="15.75" customHeight="1">
      <c r="A825" s="21" t="s">
        <v>133</v>
      </c>
    </row>
    <row r="826" ht="30.0" customHeight="1">
      <c r="A826" s="22" t="s">
        <v>134</v>
      </c>
      <c r="B826" s="23"/>
      <c r="C826" s="23"/>
      <c r="D826" s="23"/>
      <c r="E826" s="23"/>
      <c r="F826" s="23"/>
      <c r="G826" s="24"/>
    </row>
    <row r="827" ht="15.75" customHeight="1"/>
    <row r="828" ht="22.5" customHeight="1">
      <c r="A828" s="3" t="s">
        <v>478</v>
      </c>
    </row>
    <row r="829" ht="15.75" customHeight="1">
      <c r="A829" s="5" t="s">
        <v>443</v>
      </c>
      <c r="B829" s="6"/>
      <c r="C829" s="6"/>
      <c r="D829" s="6"/>
      <c r="E829" s="6"/>
      <c r="F829" s="6"/>
      <c r="G829" s="7"/>
    </row>
    <row r="830" ht="30.0" customHeight="1">
      <c r="A830" s="8" t="s">
        <v>9</v>
      </c>
      <c r="B830" s="8" t="s">
        <v>10</v>
      </c>
      <c r="C830" s="8" t="s">
        <v>11</v>
      </c>
      <c r="D830" s="8" t="s">
        <v>12</v>
      </c>
      <c r="E830" s="8" t="s">
        <v>13</v>
      </c>
      <c r="F830" s="8" t="s">
        <v>14</v>
      </c>
      <c r="G830" s="8" t="s">
        <v>15</v>
      </c>
    </row>
    <row r="831" ht="15.75" customHeight="1">
      <c r="A831" s="10" t="s">
        <v>16</v>
      </c>
      <c r="B831" s="10" t="s">
        <v>19</v>
      </c>
      <c r="C831" s="11">
        <v>54.79953162154351</v>
      </c>
      <c r="D831" s="11">
        <v>87.78</v>
      </c>
      <c r="E831" s="11">
        <f t="shared" ref="E831:E835" si="166">IF(D831&gt;0,(C831/D831)/SUMPRODUCT($C$831:$C$835/$D$831:$D$835)*100,"")</f>
        <v>55.36966637</v>
      </c>
      <c r="F831" s="11">
        <f t="shared" ref="F831:F835" si="167">IF(E831&lt;&gt;"",E831*3,"")</f>
        <v>166.1089991</v>
      </c>
      <c r="G831" s="10" t="s">
        <v>21</v>
      </c>
    </row>
    <row r="832" ht="15.75" customHeight="1">
      <c r="A832" s="12" t="s">
        <v>16</v>
      </c>
      <c r="B832" s="12" t="s">
        <v>34</v>
      </c>
      <c r="C832" s="13">
        <v>28.381452830114352</v>
      </c>
      <c r="D832" s="13">
        <v>88.98</v>
      </c>
      <c r="E832" s="13">
        <f t="shared" si="166"/>
        <v>28.28999419</v>
      </c>
      <c r="F832" s="13">
        <f t="shared" si="167"/>
        <v>84.86998256</v>
      </c>
      <c r="G832" s="12" t="s">
        <v>21</v>
      </c>
    </row>
    <row r="833" ht="15.75" customHeight="1">
      <c r="A833" s="12" t="s">
        <v>22</v>
      </c>
      <c r="B833" s="12" t="s">
        <v>23</v>
      </c>
      <c r="C833" s="13">
        <v>12.214711424558173</v>
      </c>
      <c r="D833" s="13">
        <v>88.48</v>
      </c>
      <c r="E833" s="13">
        <f t="shared" si="166"/>
        <v>12.24415261</v>
      </c>
      <c r="F833" s="13">
        <f t="shared" si="167"/>
        <v>36.73245782</v>
      </c>
      <c r="G833" s="12" t="s">
        <v>21</v>
      </c>
    </row>
    <row r="834" ht="15.75" customHeight="1">
      <c r="A834" s="12" t="s">
        <v>24</v>
      </c>
      <c r="B834" s="12" t="s">
        <v>26</v>
      </c>
      <c r="C834" s="13">
        <v>3.604304123783969</v>
      </c>
      <c r="D834" s="13">
        <v>99.89</v>
      </c>
      <c r="E834" s="13">
        <f t="shared" si="166"/>
        <v>3.200295289</v>
      </c>
      <c r="F834" s="13">
        <f t="shared" si="167"/>
        <v>9.600885867</v>
      </c>
      <c r="G834" s="12" t="s">
        <v>21</v>
      </c>
    </row>
    <row r="835" ht="15.75" customHeight="1">
      <c r="A835" s="14" t="s">
        <v>24</v>
      </c>
      <c r="B835" s="14" t="s">
        <v>70</v>
      </c>
      <c r="C835" s="15">
        <v>1.0</v>
      </c>
      <c r="D835" s="15">
        <v>99.0</v>
      </c>
      <c r="E835" s="15">
        <f t="shared" si="166"/>
        <v>0.8958915534</v>
      </c>
      <c r="F835" s="15">
        <f t="shared" si="167"/>
        <v>2.68767466</v>
      </c>
      <c r="G835" s="14" t="s">
        <v>21</v>
      </c>
    </row>
    <row r="836" ht="15.75" customHeight="1">
      <c r="A836" s="16" t="s">
        <v>27</v>
      </c>
      <c r="B836" s="17"/>
      <c r="C836" s="18">
        <f>SUM(C831:C835)</f>
        <v>100</v>
      </c>
      <c r="D836" s="18"/>
      <c r="E836" s="18">
        <f t="shared" ref="E836:F836" si="168">SUM(E831:E835)</f>
        <v>100</v>
      </c>
      <c r="F836" s="18">
        <f t="shared" si="168"/>
        <v>300</v>
      </c>
      <c r="G836" s="16"/>
    </row>
    <row r="837" ht="15.75" customHeight="1">
      <c r="A837" s="19" t="s">
        <v>33</v>
      </c>
      <c r="B837" s="20">
        <v>14.839424141749724</v>
      </c>
      <c r="C837" s="19" t="s">
        <v>35</v>
      </c>
      <c r="D837" s="20">
        <v>80.70632484548818</v>
      </c>
      <c r="E837" s="19" t="s">
        <v>36</v>
      </c>
      <c r="F837" s="20">
        <v>16.696642672691635</v>
      </c>
      <c r="G837" s="19"/>
    </row>
    <row r="838" ht="15.75" customHeight="1">
      <c r="A838" s="19" t="s">
        <v>37</v>
      </c>
      <c r="B838" s="20">
        <v>1.4341755955339435</v>
      </c>
      <c r="C838" s="19" t="s">
        <v>38</v>
      </c>
      <c r="D838" s="20">
        <v>0.6951441032641855</v>
      </c>
      <c r="E838" s="19" t="s">
        <v>39</v>
      </c>
      <c r="F838" s="20">
        <v>2.0631342318801105</v>
      </c>
      <c r="G838" s="19"/>
    </row>
    <row r="839" ht="15.75" customHeight="1">
      <c r="A839" s="19" t="s">
        <v>40</v>
      </c>
      <c r="B839" s="20">
        <v>7.000000000000399</v>
      </c>
      <c r="C839" s="19" t="s">
        <v>41</v>
      </c>
      <c r="D839" s="20">
        <v>0.0</v>
      </c>
      <c r="E839" s="19" t="s">
        <v>42</v>
      </c>
      <c r="F839" s="20">
        <v>1.0</v>
      </c>
      <c r="G839" s="19"/>
    </row>
    <row r="840" ht="15.75" customHeight="1">
      <c r="A840" s="21" t="s">
        <v>445</v>
      </c>
    </row>
    <row r="841" ht="30.0" customHeight="1">
      <c r="A841" s="22" t="s">
        <v>446</v>
      </c>
      <c r="B841" s="23"/>
      <c r="C841" s="23"/>
      <c r="D841" s="23"/>
      <c r="E841" s="23"/>
      <c r="F841" s="23"/>
      <c r="G841" s="24"/>
    </row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</sheetData>
  <mergeCells count="281">
    <mergeCell ref="A498:G498"/>
    <mergeCell ref="A499:G499"/>
    <mergeCell ref="A501:G501"/>
    <mergeCell ref="A502:G502"/>
    <mergeCell ref="A516:G516"/>
    <mergeCell ref="A517:G517"/>
    <mergeCell ref="A519:G519"/>
    <mergeCell ref="A520:G520"/>
    <mergeCell ref="A534:G534"/>
    <mergeCell ref="A535:G535"/>
    <mergeCell ref="A537:G537"/>
    <mergeCell ref="A538:G538"/>
    <mergeCell ref="A552:G552"/>
    <mergeCell ref="A553:G553"/>
    <mergeCell ref="A608:G608"/>
    <mergeCell ref="A609:G609"/>
    <mergeCell ref="A611:G611"/>
    <mergeCell ref="A612:G612"/>
    <mergeCell ref="A618:B618"/>
    <mergeCell ref="A622:G622"/>
    <mergeCell ref="A623:G623"/>
    <mergeCell ref="A625:G625"/>
    <mergeCell ref="A626:G626"/>
    <mergeCell ref="A632:B632"/>
    <mergeCell ref="A636:G636"/>
    <mergeCell ref="A637:G637"/>
    <mergeCell ref="A639:G639"/>
    <mergeCell ref="A640:G640"/>
    <mergeCell ref="A646:B646"/>
    <mergeCell ref="A650:G650"/>
    <mergeCell ref="A651:G651"/>
    <mergeCell ref="A653:G653"/>
    <mergeCell ref="A654:G654"/>
    <mergeCell ref="A660:B660"/>
    <mergeCell ref="A664:G664"/>
    <mergeCell ref="A665:G665"/>
    <mergeCell ref="A667:G667"/>
    <mergeCell ref="A668:G668"/>
    <mergeCell ref="A678:B678"/>
    <mergeCell ref="A682:G682"/>
    <mergeCell ref="A683:G683"/>
    <mergeCell ref="A685:G685"/>
    <mergeCell ref="A686:G686"/>
    <mergeCell ref="A692:B692"/>
    <mergeCell ref="A696:G696"/>
    <mergeCell ref="A697:G697"/>
    <mergeCell ref="A699:G699"/>
    <mergeCell ref="A700:G700"/>
    <mergeCell ref="A707:B707"/>
    <mergeCell ref="A711:G711"/>
    <mergeCell ref="A712:G712"/>
    <mergeCell ref="A714:G714"/>
    <mergeCell ref="A715:G715"/>
    <mergeCell ref="A721:B721"/>
    <mergeCell ref="A725:G725"/>
    <mergeCell ref="A726:G726"/>
    <mergeCell ref="A728:G728"/>
    <mergeCell ref="A729:G729"/>
    <mergeCell ref="A735:B735"/>
    <mergeCell ref="A739:G739"/>
    <mergeCell ref="A740:G740"/>
    <mergeCell ref="A742:G742"/>
    <mergeCell ref="A743:G743"/>
    <mergeCell ref="A753:G753"/>
    <mergeCell ref="A754:G754"/>
    <mergeCell ref="A756:G756"/>
    <mergeCell ref="A757:G757"/>
    <mergeCell ref="A783:G783"/>
    <mergeCell ref="A784:G784"/>
    <mergeCell ref="A786:G786"/>
    <mergeCell ref="A787:G787"/>
    <mergeCell ref="A793:B793"/>
    <mergeCell ref="A797:G797"/>
    <mergeCell ref="A798:G798"/>
    <mergeCell ref="A821:B821"/>
    <mergeCell ref="A825:G825"/>
    <mergeCell ref="A826:G826"/>
    <mergeCell ref="A828:G828"/>
    <mergeCell ref="A829:G829"/>
    <mergeCell ref="A836:B836"/>
    <mergeCell ref="A840:G840"/>
    <mergeCell ref="A841:G841"/>
    <mergeCell ref="A800:G800"/>
    <mergeCell ref="A801:G801"/>
    <mergeCell ref="A807:B807"/>
    <mergeCell ref="A811:G811"/>
    <mergeCell ref="A812:G812"/>
    <mergeCell ref="A814:G814"/>
    <mergeCell ref="A815:G815"/>
    <mergeCell ref="A168:G168"/>
    <mergeCell ref="A169:G169"/>
    <mergeCell ref="A171:G171"/>
    <mergeCell ref="A172:G172"/>
    <mergeCell ref="A182:G182"/>
    <mergeCell ref="A183:G183"/>
    <mergeCell ref="A185:G185"/>
    <mergeCell ref="A186:G186"/>
    <mergeCell ref="A196:G196"/>
    <mergeCell ref="A197:G197"/>
    <mergeCell ref="A199:G199"/>
    <mergeCell ref="A200:G200"/>
    <mergeCell ref="A210:G210"/>
    <mergeCell ref="A211:G211"/>
    <mergeCell ref="A213:G213"/>
    <mergeCell ref="A214:G214"/>
    <mergeCell ref="A224:G224"/>
    <mergeCell ref="A225:G225"/>
    <mergeCell ref="A227:G227"/>
    <mergeCell ref="A228:G228"/>
    <mergeCell ref="A238:G238"/>
    <mergeCell ref="A239:G239"/>
    <mergeCell ref="A241:G241"/>
    <mergeCell ref="A242:G242"/>
    <mergeCell ref="A252:G252"/>
    <mergeCell ref="A253:G253"/>
    <mergeCell ref="A255:G255"/>
    <mergeCell ref="A256:G256"/>
    <mergeCell ref="A266:G266"/>
    <mergeCell ref="A267:G267"/>
    <mergeCell ref="A269:G269"/>
    <mergeCell ref="A270:G270"/>
    <mergeCell ref="A280:G280"/>
    <mergeCell ref="A281:G281"/>
    <mergeCell ref="A283:G283"/>
    <mergeCell ref="A284:G284"/>
    <mergeCell ref="A294:G294"/>
    <mergeCell ref="A295:G295"/>
    <mergeCell ref="A297:G297"/>
    <mergeCell ref="A298:G298"/>
    <mergeCell ref="A308:G308"/>
    <mergeCell ref="A309:G309"/>
    <mergeCell ref="A749:B749"/>
    <mergeCell ref="A764:B764"/>
    <mergeCell ref="A768:G768"/>
    <mergeCell ref="A769:G769"/>
    <mergeCell ref="A771:G771"/>
    <mergeCell ref="A772:G772"/>
    <mergeCell ref="A779:B779"/>
    <mergeCell ref="A10:B10"/>
    <mergeCell ref="A24:B24"/>
    <mergeCell ref="A1:G1"/>
    <mergeCell ref="A52:B52"/>
    <mergeCell ref="A66:B66"/>
    <mergeCell ref="A80:B80"/>
    <mergeCell ref="A94:B94"/>
    <mergeCell ref="A108:B108"/>
    <mergeCell ref="A122:B122"/>
    <mergeCell ref="A136:B136"/>
    <mergeCell ref="A150:B150"/>
    <mergeCell ref="A164:B164"/>
    <mergeCell ref="A178:B178"/>
    <mergeCell ref="A192:B192"/>
    <mergeCell ref="A206:B206"/>
    <mergeCell ref="A220:B220"/>
    <mergeCell ref="A234:B234"/>
    <mergeCell ref="A248:B248"/>
    <mergeCell ref="A262:B262"/>
    <mergeCell ref="A276:B276"/>
    <mergeCell ref="A290:B290"/>
    <mergeCell ref="A304:B304"/>
    <mergeCell ref="A318:B318"/>
    <mergeCell ref="A332:B332"/>
    <mergeCell ref="A350:B350"/>
    <mergeCell ref="A368:B368"/>
    <mergeCell ref="A386:B386"/>
    <mergeCell ref="A404:B404"/>
    <mergeCell ref="A422:B422"/>
    <mergeCell ref="A440:B440"/>
    <mergeCell ref="A458:B458"/>
    <mergeCell ref="A590:B590"/>
    <mergeCell ref="A604:B604"/>
    <mergeCell ref="A476:B476"/>
    <mergeCell ref="A494:B494"/>
    <mergeCell ref="A512:B512"/>
    <mergeCell ref="A530:B530"/>
    <mergeCell ref="A548:B548"/>
    <mergeCell ref="A562:B562"/>
    <mergeCell ref="A576:B576"/>
    <mergeCell ref="A3:G3"/>
    <mergeCell ref="A4:G4"/>
    <mergeCell ref="A14:G14"/>
    <mergeCell ref="A15:G15"/>
    <mergeCell ref="A17:G17"/>
    <mergeCell ref="A18:G18"/>
    <mergeCell ref="A28:G28"/>
    <mergeCell ref="A29:G29"/>
    <mergeCell ref="A31:G31"/>
    <mergeCell ref="A32:G32"/>
    <mergeCell ref="A38:B38"/>
    <mergeCell ref="A42:G42"/>
    <mergeCell ref="A43:G43"/>
    <mergeCell ref="A45:G45"/>
    <mergeCell ref="A46:G46"/>
    <mergeCell ref="A56:G56"/>
    <mergeCell ref="A57:G57"/>
    <mergeCell ref="A59:G59"/>
    <mergeCell ref="A60:G60"/>
    <mergeCell ref="A70:G70"/>
    <mergeCell ref="A71:G71"/>
    <mergeCell ref="A73:G73"/>
    <mergeCell ref="A74:G74"/>
    <mergeCell ref="A84:G84"/>
    <mergeCell ref="A85:G85"/>
    <mergeCell ref="A87:G87"/>
    <mergeCell ref="A88:G88"/>
    <mergeCell ref="A98:G98"/>
    <mergeCell ref="A99:G99"/>
    <mergeCell ref="A101:G101"/>
    <mergeCell ref="A102:G102"/>
    <mergeCell ref="A112:G112"/>
    <mergeCell ref="A113:G113"/>
    <mergeCell ref="A115:G115"/>
    <mergeCell ref="A116:G116"/>
    <mergeCell ref="A126:G126"/>
    <mergeCell ref="A127:G127"/>
    <mergeCell ref="A129:G129"/>
    <mergeCell ref="A130:G130"/>
    <mergeCell ref="A140:G140"/>
    <mergeCell ref="A141:G141"/>
    <mergeCell ref="A143:G143"/>
    <mergeCell ref="A144:G144"/>
    <mergeCell ref="A154:G154"/>
    <mergeCell ref="A155:G155"/>
    <mergeCell ref="A157:G157"/>
    <mergeCell ref="A158:G158"/>
    <mergeCell ref="A311:G311"/>
    <mergeCell ref="A312:G312"/>
    <mergeCell ref="A322:G322"/>
    <mergeCell ref="A323:G323"/>
    <mergeCell ref="A325:G325"/>
    <mergeCell ref="A326:G326"/>
    <mergeCell ref="A336:G336"/>
    <mergeCell ref="A337:G337"/>
    <mergeCell ref="A339:G339"/>
    <mergeCell ref="A340:G340"/>
    <mergeCell ref="A354:G354"/>
    <mergeCell ref="A355:G355"/>
    <mergeCell ref="A357:G357"/>
    <mergeCell ref="A358:G358"/>
    <mergeCell ref="A372:G372"/>
    <mergeCell ref="A373:G373"/>
    <mergeCell ref="A375:G375"/>
    <mergeCell ref="A376:G376"/>
    <mergeCell ref="A390:G390"/>
    <mergeCell ref="A391:G391"/>
    <mergeCell ref="A393:G393"/>
    <mergeCell ref="A394:G394"/>
    <mergeCell ref="A408:G408"/>
    <mergeCell ref="A409:G409"/>
    <mergeCell ref="A411:G411"/>
    <mergeCell ref="A412:G412"/>
    <mergeCell ref="A426:G426"/>
    <mergeCell ref="A427:G427"/>
    <mergeCell ref="A429:G429"/>
    <mergeCell ref="A430:G430"/>
    <mergeCell ref="A444:G444"/>
    <mergeCell ref="A445:G445"/>
    <mergeCell ref="A447:G447"/>
    <mergeCell ref="A448:G448"/>
    <mergeCell ref="A462:G462"/>
    <mergeCell ref="A463:G463"/>
    <mergeCell ref="A465:G465"/>
    <mergeCell ref="A466:G466"/>
    <mergeCell ref="A480:G480"/>
    <mergeCell ref="A481:G481"/>
    <mergeCell ref="A483:G483"/>
    <mergeCell ref="A484:G484"/>
    <mergeCell ref="A555:G555"/>
    <mergeCell ref="A556:G556"/>
    <mergeCell ref="A566:G566"/>
    <mergeCell ref="A567:G567"/>
    <mergeCell ref="A569:G569"/>
    <mergeCell ref="A570:G570"/>
    <mergeCell ref="A580:G580"/>
    <mergeCell ref="A581:G581"/>
    <mergeCell ref="A583:G583"/>
    <mergeCell ref="A584:G584"/>
    <mergeCell ref="A594:G594"/>
    <mergeCell ref="A595:G595"/>
    <mergeCell ref="A597:G597"/>
    <mergeCell ref="A598:G59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30.0"/>
    <col customWidth="1" min="3" max="3" width="10.0"/>
    <col customWidth="1" min="4" max="4" width="12.0"/>
    <col customWidth="1" min="5" max="6" width="16.0"/>
    <col customWidth="1" min="7" max="7" width="14.0"/>
    <col customWidth="1" min="8" max="26" width="8.63"/>
  </cols>
  <sheetData>
    <row r="1" ht="27.75" customHeight="1">
      <c r="A1" s="1" t="s">
        <v>1</v>
      </c>
    </row>
    <row r="2" ht="22.5" customHeight="1">
      <c r="A2" s="3" t="s">
        <v>2</v>
      </c>
    </row>
    <row r="3" ht="15.75" customHeight="1">
      <c r="A3" s="5" t="s">
        <v>4</v>
      </c>
      <c r="B3" s="6"/>
      <c r="C3" s="6"/>
      <c r="D3" s="6"/>
      <c r="E3" s="6"/>
      <c r="F3" s="6"/>
      <c r="G3" s="7"/>
    </row>
    <row r="4" ht="30.0" customHeight="1">
      <c r="A4" s="8" t="s">
        <v>9</v>
      </c>
      <c r="B4" s="8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8" t="s">
        <v>15</v>
      </c>
    </row>
    <row r="5" ht="15.75" customHeight="1">
      <c r="A5" s="10" t="s">
        <v>18</v>
      </c>
      <c r="B5" s="10" t="s">
        <v>20</v>
      </c>
      <c r="C5" s="11">
        <v>40.0</v>
      </c>
      <c r="D5" s="11">
        <v>31.59</v>
      </c>
      <c r="E5" s="11">
        <f t="shared" ref="E5:E10" si="1">IF(D5&gt;0,(C5/D5)/SUMPRODUCT($C$5:$C$10/$D$5:$D$10)*100,"")</f>
        <v>56.81137333</v>
      </c>
      <c r="F5" s="11">
        <f t="shared" ref="F5:F10" si="2">IF(E5&lt;&gt;"",E5*3,"")</f>
        <v>170.43412</v>
      </c>
      <c r="G5" s="10" t="s">
        <v>21</v>
      </c>
    </row>
    <row r="6" ht="15.75" customHeight="1">
      <c r="A6" s="12" t="s">
        <v>16</v>
      </c>
      <c r="B6" s="12" t="s">
        <v>19</v>
      </c>
      <c r="C6" s="13">
        <v>31.924457631722795</v>
      </c>
      <c r="D6" s="13">
        <v>87.78</v>
      </c>
      <c r="E6" s="13">
        <f t="shared" si="1"/>
        <v>16.31747191</v>
      </c>
      <c r="F6" s="13">
        <f t="shared" si="2"/>
        <v>48.95241572</v>
      </c>
      <c r="G6" s="12" t="s">
        <v>21</v>
      </c>
    </row>
    <row r="7" ht="15.75" customHeight="1">
      <c r="A7" s="12" t="s">
        <v>22</v>
      </c>
      <c r="B7" s="12" t="s">
        <v>23</v>
      </c>
      <c r="C7" s="13">
        <v>16.297668257551116</v>
      </c>
      <c r="D7" s="13">
        <v>88.48</v>
      </c>
      <c r="E7" s="13">
        <f t="shared" si="1"/>
        <v>8.264284926</v>
      </c>
      <c r="F7" s="13">
        <f t="shared" si="2"/>
        <v>24.79285478</v>
      </c>
      <c r="G7" s="12" t="s">
        <v>21</v>
      </c>
    </row>
    <row r="8" ht="15.75" customHeight="1">
      <c r="A8" s="12" t="s">
        <v>22</v>
      </c>
      <c r="B8" s="12" t="s">
        <v>25</v>
      </c>
      <c r="C8" s="13">
        <v>1.0</v>
      </c>
      <c r="D8" s="13">
        <v>99.0</v>
      </c>
      <c r="E8" s="13">
        <f t="shared" si="1"/>
        <v>0.4531998191</v>
      </c>
      <c r="F8" s="13">
        <f t="shared" si="2"/>
        <v>1.359599457</v>
      </c>
      <c r="G8" s="12" t="s">
        <v>21</v>
      </c>
    </row>
    <row r="9" ht="15.75" customHeight="1">
      <c r="A9" s="12" t="s">
        <v>24</v>
      </c>
      <c r="B9" s="12" t="s">
        <v>26</v>
      </c>
      <c r="C9" s="13">
        <v>0.7778741107260843</v>
      </c>
      <c r="D9" s="13">
        <v>99.89</v>
      </c>
      <c r="E9" s="13">
        <f t="shared" si="1"/>
        <v>0.3493914127</v>
      </c>
      <c r="F9" s="13">
        <f t="shared" si="2"/>
        <v>1.048174238</v>
      </c>
      <c r="G9" s="12" t="s">
        <v>21</v>
      </c>
    </row>
    <row r="10" ht="15.75" customHeight="1">
      <c r="A10" s="14" t="s">
        <v>28</v>
      </c>
      <c r="B10" s="14" t="s">
        <v>29</v>
      </c>
      <c r="C10" s="15">
        <v>10.0</v>
      </c>
      <c r="D10" s="15">
        <v>25.2</v>
      </c>
      <c r="E10" s="15">
        <f t="shared" si="1"/>
        <v>17.80427861</v>
      </c>
      <c r="F10" s="15">
        <f t="shared" si="2"/>
        <v>53.41283582</v>
      </c>
      <c r="G10" s="14" t="s">
        <v>31</v>
      </c>
    </row>
    <row r="11" ht="15.75" customHeight="1">
      <c r="A11" s="16" t="s">
        <v>27</v>
      </c>
      <c r="B11" s="17"/>
      <c r="C11" s="18">
        <f>SUM(C5:C10)</f>
        <v>100</v>
      </c>
      <c r="D11" s="18"/>
      <c r="E11" s="18">
        <f t="shared" ref="E11:F11" si="3">SUM(E5:E10)</f>
        <v>100</v>
      </c>
      <c r="F11" s="18">
        <f t="shared" si="3"/>
        <v>300</v>
      </c>
      <c r="G11" s="16"/>
    </row>
    <row r="12" ht="15.75" customHeight="1">
      <c r="A12" s="19" t="s">
        <v>33</v>
      </c>
      <c r="B12" s="20">
        <v>18.6768686868687</v>
      </c>
      <c r="C12" s="19" t="s">
        <v>35</v>
      </c>
      <c r="D12" s="20">
        <v>72.93371848489214</v>
      </c>
      <c r="E12" s="19" t="s">
        <v>36</v>
      </c>
      <c r="F12" s="20">
        <v>32.955881064390525</v>
      </c>
      <c r="G12" s="19"/>
    </row>
    <row r="13" ht="15.75" customHeight="1">
      <c r="A13" s="19" t="s">
        <v>37</v>
      </c>
      <c r="B13" s="20">
        <v>0.622895622895628</v>
      </c>
      <c r="C13" s="19" t="s">
        <v>38</v>
      </c>
      <c r="D13" s="20">
        <v>0.275785640558421</v>
      </c>
      <c r="E13" s="19" t="s">
        <v>39</v>
      </c>
      <c r="F13" s="20">
        <v>2.258622391051129</v>
      </c>
      <c r="G13" s="19"/>
    </row>
    <row r="14" ht="15.75" customHeight="1">
      <c r="A14" s="19" t="s">
        <v>40</v>
      </c>
      <c r="B14" s="20">
        <v>3.2416515235131573</v>
      </c>
      <c r="C14" s="19" t="s">
        <v>41</v>
      </c>
      <c r="D14" s="20">
        <v>50.0</v>
      </c>
      <c r="E14" s="19" t="s">
        <v>42</v>
      </c>
      <c r="F14" s="20">
        <v>1.0</v>
      </c>
      <c r="G14" s="19"/>
    </row>
    <row r="15" ht="15.75" customHeight="1">
      <c r="A15" s="21" t="s">
        <v>43</v>
      </c>
    </row>
    <row r="16" ht="30.0" customHeight="1">
      <c r="A16" s="22" t="s">
        <v>45</v>
      </c>
      <c r="B16" s="23"/>
      <c r="C16" s="23"/>
      <c r="D16" s="23"/>
      <c r="E16" s="23"/>
      <c r="F16" s="23"/>
      <c r="G16" s="24"/>
    </row>
    <row r="17" ht="15.75" customHeight="1"/>
    <row r="18" ht="22.5" customHeight="1">
      <c r="A18" s="3" t="s">
        <v>48</v>
      </c>
    </row>
    <row r="19" ht="15.75" customHeight="1">
      <c r="A19" s="5" t="s">
        <v>49</v>
      </c>
      <c r="B19" s="6"/>
      <c r="C19" s="6"/>
      <c r="D19" s="6"/>
      <c r="E19" s="6"/>
      <c r="F19" s="6"/>
      <c r="G19" s="7"/>
    </row>
    <row r="20" ht="30.0" customHeight="1">
      <c r="A20" s="8" t="s">
        <v>9</v>
      </c>
      <c r="B20" s="8" t="s">
        <v>10</v>
      </c>
      <c r="C20" s="8" t="s">
        <v>11</v>
      </c>
      <c r="D20" s="8" t="s">
        <v>12</v>
      </c>
      <c r="E20" s="8" t="s">
        <v>13</v>
      </c>
      <c r="F20" s="8" t="s">
        <v>14</v>
      </c>
      <c r="G20" s="8" t="s">
        <v>15</v>
      </c>
    </row>
    <row r="21" ht="15.75" customHeight="1">
      <c r="A21" s="10" t="s">
        <v>18</v>
      </c>
      <c r="B21" s="10" t="s">
        <v>20</v>
      </c>
      <c r="C21" s="11">
        <v>50.0</v>
      </c>
      <c r="D21" s="11">
        <v>31.59</v>
      </c>
      <c r="E21" s="11">
        <f t="shared" ref="E21:E25" si="4">IF(D21&gt;0,(C21/D21)/SUMPRODUCT($C$21:$C$25/$D$21:$D$25)*100,"")</f>
        <v>73.69321808</v>
      </c>
      <c r="F21" s="11">
        <f t="shared" ref="F21:F25" si="5">IF(E21&lt;&gt;"",E21*3,"")</f>
        <v>221.0796543</v>
      </c>
      <c r="G21" s="10" t="s">
        <v>21</v>
      </c>
    </row>
    <row r="22" ht="15.75" customHeight="1">
      <c r="A22" s="12" t="s">
        <v>16</v>
      </c>
      <c r="B22" s="12" t="s">
        <v>19</v>
      </c>
      <c r="C22" s="13">
        <v>28.01</v>
      </c>
      <c r="D22" s="13">
        <v>87.78</v>
      </c>
      <c r="E22" s="13">
        <f t="shared" si="4"/>
        <v>14.85677944</v>
      </c>
      <c r="F22" s="13">
        <f t="shared" si="5"/>
        <v>44.57033831</v>
      </c>
      <c r="G22" s="12" t="s">
        <v>31</v>
      </c>
    </row>
    <row r="23" ht="15.75" customHeight="1">
      <c r="A23" s="12" t="s">
        <v>22</v>
      </c>
      <c r="B23" s="12" t="s">
        <v>23</v>
      </c>
      <c r="C23" s="13">
        <v>19.9</v>
      </c>
      <c r="D23" s="13">
        <v>88.48</v>
      </c>
      <c r="E23" s="13">
        <f t="shared" si="4"/>
        <v>10.47164971</v>
      </c>
      <c r="F23" s="13">
        <f t="shared" si="5"/>
        <v>31.41494913</v>
      </c>
      <c r="G23" s="12" t="s">
        <v>31</v>
      </c>
    </row>
    <row r="24" ht="15.75" customHeight="1">
      <c r="A24" s="12" t="s">
        <v>22</v>
      </c>
      <c r="B24" s="12" t="s">
        <v>25</v>
      </c>
      <c r="C24" s="13">
        <v>1.0</v>
      </c>
      <c r="D24" s="13">
        <v>99.0</v>
      </c>
      <c r="E24" s="13">
        <f t="shared" si="4"/>
        <v>0.470296719</v>
      </c>
      <c r="F24" s="13">
        <f t="shared" si="5"/>
        <v>1.410890157</v>
      </c>
      <c r="G24" s="12" t="s">
        <v>21</v>
      </c>
    </row>
    <row r="25" ht="15.75" customHeight="1">
      <c r="A25" s="14" t="s">
        <v>24</v>
      </c>
      <c r="B25" s="14" t="s">
        <v>26</v>
      </c>
      <c r="C25" s="15">
        <v>1.09</v>
      </c>
      <c r="D25" s="15">
        <v>99.89</v>
      </c>
      <c r="E25" s="15">
        <f t="shared" si="4"/>
        <v>0.5080560512</v>
      </c>
      <c r="F25" s="15">
        <f t="shared" si="5"/>
        <v>1.524168154</v>
      </c>
      <c r="G25" s="14" t="s">
        <v>31</v>
      </c>
    </row>
    <row r="26" ht="15.75" customHeight="1">
      <c r="A26" s="16" t="s">
        <v>27</v>
      </c>
      <c r="B26" s="17"/>
      <c r="C26" s="18">
        <f>SUM(C21:C25)</f>
        <v>100</v>
      </c>
      <c r="D26" s="18"/>
      <c r="E26" s="18">
        <f t="shared" ref="E26:F26" si="6">SUM(E21:E25)</f>
        <v>100</v>
      </c>
      <c r="F26" s="18">
        <f t="shared" si="6"/>
        <v>300</v>
      </c>
      <c r="G26" s="16"/>
    </row>
    <row r="27" ht="15.75" customHeight="1">
      <c r="A27" s="19" t="s">
        <v>33</v>
      </c>
      <c r="B27" s="20">
        <v>18.68715</v>
      </c>
      <c r="C27" s="19" t="s">
        <v>35</v>
      </c>
      <c r="D27" s="20">
        <v>71.727273</v>
      </c>
      <c r="E27" s="19" t="s">
        <v>36</v>
      </c>
      <c r="F27" s="20">
        <v>34.724269</v>
      </c>
      <c r="G27" s="19"/>
    </row>
    <row r="28" ht="15.75" customHeight="1">
      <c r="A28" s="19" t="s">
        <v>37</v>
      </c>
      <c r="B28" s="20">
        <v>0.6311880000000001</v>
      </c>
      <c r="C28" s="19" t="s">
        <v>38</v>
      </c>
      <c r="D28" s="20">
        <v>0.27856400000000003</v>
      </c>
      <c r="E28" s="19" t="s">
        <v>39</v>
      </c>
      <c r="F28" s="20">
        <v>2.2658634999497425</v>
      </c>
      <c r="G28" s="19"/>
    </row>
    <row r="29" ht="15.75" customHeight="1">
      <c r="A29" s="19" t="s">
        <v>40</v>
      </c>
      <c r="B29" s="20">
        <v>3.084068</v>
      </c>
      <c r="C29" s="19" t="s">
        <v>41</v>
      </c>
      <c r="D29" s="20">
        <v>50.0</v>
      </c>
      <c r="E29" s="19" t="s">
        <v>42</v>
      </c>
      <c r="F29" s="20">
        <v>1.0</v>
      </c>
      <c r="G29" s="19"/>
    </row>
    <row r="30" ht="15.75" customHeight="1">
      <c r="A30" s="21" t="s">
        <v>60</v>
      </c>
    </row>
    <row r="31" ht="30.0" customHeight="1">
      <c r="A31" s="22" t="s">
        <v>62</v>
      </c>
      <c r="B31" s="23"/>
      <c r="C31" s="23"/>
      <c r="D31" s="23"/>
      <c r="E31" s="23"/>
      <c r="F31" s="23"/>
      <c r="G31" s="24"/>
    </row>
    <row r="32" ht="15.75" customHeight="1"/>
    <row r="33" ht="22.5" customHeight="1">
      <c r="A33" s="3" t="s">
        <v>65</v>
      </c>
    </row>
    <row r="34" ht="15.75" customHeight="1">
      <c r="A34" s="5" t="s">
        <v>8</v>
      </c>
      <c r="B34" s="6"/>
      <c r="C34" s="6"/>
      <c r="D34" s="6"/>
      <c r="E34" s="6"/>
      <c r="F34" s="6"/>
      <c r="G34" s="7"/>
    </row>
    <row r="35" ht="30.0" customHeight="1">
      <c r="A35" s="8" t="s">
        <v>9</v>
      </c>
      <c r="B35" s="8" t="s">
        <v>10</v>
      </c>
      <c r="C35" s="8" t="s">
        <v>11</v>
      </c>
      <c r="D35" s="8" t="s">
        <v>12</v>
      </c>
      <c r="E35" s="8" t="s">
        <v>13</v>
      </c>
      <c r="F35" s="8" t="s">
        <v>14</v>
      </c>
      <c r="G35" s="8" t="s">
        <v>15</v>
      </c>
    </row>
    <row r="36" ht="15.75" customHeight="1">
      <c r="A36" s="10" t="s">
        <v>18</v>
      </c>
      <c r="B36" s="10" t="s">
        <v>20</v>
      </c>
      <c r="C36" s="11">
        <v>50.0</v>
      </c>
      <c r="D36" s="11">
        <v>31.59</v>
      </c>
      <c r="E36" s="11">
        <f t="shared" ref="E36:E42" si="7">IF(D36&gt;0,(C36/D36)/SUMPRODUCT($C$36:$C$42/$D$36:$D$42)*100,"")</f>
        <v>73.67098641</v>
      </c>
      <c r="F36" s="11">
        <f t="shared" ref="F36:F42" si="8">IF(E36&lt;&gt;"",E36*3,"")</f>
        <v>221.0129592</v>
      </c>
      <c r="G36" s="10" t="s">
        <v>21</v>
      </c>
    </row>
    <row r="37" ht="15.75" customHeight="1">
      <c r="A37" s="12" t="s">
        <v>16</v>
      </c>
      <c r="B37" s="12" t="s">
        <v>19</v>
      </c>
      <c r="C37" s="13">
        <v>5.264585092756501</v>
      </c>
      <c r="D37" s="13">
        <v>87.78</v>
      </c>
      <c r="E37" s="13">
        <f t="shared" si="7"/>
        <v>2.791545299</v>
      </c>
      <c r="F37" s="13">
        <f t="shared" si="8"/>
        <v>8.374635896</v>
      </c>
      <c r="G37" s="12" t="s">
        <v>21</v>
      </c>
    </row>
    <row r="38" ht="15.75" customHeight="1">
      <c r="A38" s="12" t="s">
        <v>22</v>
      </c>
      <c r="B38" s="12" t="s">
        <v>23</v>
      </c>
      <c r="C38" s="13">
        <v>20.036019254852715</v>
      </c>
      <c r="D38" s="13">
        <v>88.48</v>
      </c>
      <c r="E38" s="13">
        <f t="shared" si="7"/>
        <v>10.54004422</v>
      </c>
      <c r="F38" s="13">
        <f t="shared" si="8"/>
        <v>31.62013265</v>
      </c>
      <c r="G38" s="12" t="s">
        <v>21</v>
      </c>
    </row>
    <row r="39" ht="15.75" customHeight="1">
      <c r="A39" s="12" t="s">
        <v>22</v>
      </c>
      <c r="B39" s="12" t="s">
        <v>66</v>
      </c>
      <c r="C39" s="13">
        <v>7.820949986243271</v>
      </c>
      <c r="D39" s="13">
        <v>86.0</v>
      </c>
      <c r="E39" s="13">
        <f t="shared" si="7"/>
        <v>4.232891766</v>
      </c>
      <c r="F39" s="13">
        <f t="shared" si="8"/>
        <v>12.6986753</v>
      </c>
      <c r="G39" s="12" t="s">
        <v>21</v>
      </c>
    </row>
    <row r="40" ht="15.75" customHeight="1">
      <c r="A40" s="12" t="s">
        <v>16</v>
      </c>
      <c r="B40" s="12" t="s">
        <v>17</v>
      </c>
      <c r="C40" s="13">
        <v>14.292894035564704</v>
      </c>
      <c r="D40" s="13">
        <v>88.05</v>
      </c>
      <c r="E40" s="13">
        <f t="shared" si="7"/>
        <v>7.555564546</v>
      </c>
      <c r="F40" s="13">
        <f t="shared" si="8"/>
        <v>22.66669364</v>
      </c>
      <c r="G40" s="12" t="s">
        <v>21</v>
      </c>
    </row>
    <row r="41" ht="15.75" customHeight="1">
      <c r="A41" s="12" t="s">
        <v>24</v>
      </c>
      <c r="B41" s="12" t="s">
        <v>26</v>
      </c>
      <c r="C41" s="13">
        <v>1.5855516305828092</v>
      </c>
      <c r="D41" s="13">
        <v>99.89</v>
      </c>
      <c r="E41" s="13">
        <f t="shared" si="7"/>
        <v>0.7388129205</v>
      </c>
      <c r="F41" s="13">
        <f t="shared" si="8"/>
        <v>2.216438762</v>
      </c>
      <c r="G41" s="12" t="s">
        <v>21</v>
      </c>
    </row>
    <row r="42" ht="15.75" customHeight="1">
      <c r="A42" s="14" t="s">
        <v>24</v>
      </c>
      <c r="B42" s="14" t="s">
        <v>70</v>
      </c>
      <c r="C42" s="15">
        <v>1.0</v>
      </c>
      <c r="D42" s="15">
        <v>99.0</v>
      </c>
      <c r="E42" s="15">
        <f t="shared" si="7"/>
        <v>0.4701548405</v>
      </c>
      <c r="F42" s="15">
        <f t="shared" si="8"/>
        <v>1.410464522</v>
      </c>
      <c r="G42" s="14" t="s">
        <v>21</v>
      </c>
    </row>
    <row r="43" ht="15.75" customHeight="1">
      <c r="A43" s="16" t="s">
        <v>27</v>
      </c>
      <c r="B43" s="17"/>
      <c r="C43" s="18">
        <f>SUM(C36:C42)</f>
        <v>100</v>
      </c>
      <c r="D43" s="18"/>
      <c r="E43" s="18">
        <f t="shared" ref="E43:F43" si="9">SUM(E36:E42)</f>
        <v>100</v>
      </c>
      <c r="F43" s="18">
        <f t="shared" si="9"/>
        <v>300</v>
      </c>
      <c r="G43" s="16"/>
    </row>
    <row r="44" ht="15.75" customHeight="1">
      <c r="A44" s="19" t="s">
        <v>33</v>
      </c>
      <c r="B44" s="20">
        <v>18.676868686868684</v>
      </c>
      <c r="C44" s="19" t="s">
        <v>35</v>
      </c>
      <c r="D44" s="20">
        <v>69.50603578173539</v>
      </c>
      <c r="E44" s="19" t="s">
        <v>36</v>
      </c>
      <c r="F44" s="20">
        <v>40.390926317716755</v>
      </c>
      <c r="G44" s="19"/>
    </row>
    <row r="45" ht="15.75" customHeight="1">
      <c r="A45" s="19" t="s">
        <v>37</v>
      </c>
      <c r="B45" s="20">
        <v>0.8417508417508389</v>
      </c>
      <c r="C45" s="19" t="s">
        <v>38</v>
      </c>
      <c r="D45" s="20">
        <v>0.42087542087542085</v>
      </c>
      <c r="E45" s="19" t="s">
        <v>39</v>
      </c>
      <c r="F45" s="20">
        <v>1.9999999999999933</v>
      </c>
      <c r="G45" s="19"/>
    </row>
    <row r="46" ht="15.75" customHeight="1">
      <c r="A46" s="19" t="s">
        <v>40</v>
      </c>
      <c r="B46" s="20">
        <v>2.882004099897659</v>
      </c>
      <c r="C46" s="19" t="s">
        <v>41</v>
      </c>
      <c r="D46" s="20">
        <v>50.0</v>
      </c>
      <c r="E46" s="19" t="s">
        <v>42</v>
      </c>
      <c r="F46" s="20">
        <v>0.0</v>
      </c>
      <c r="G46" s="19"/>
    </row>
    <row r="47" ht="15.75" customHeight="1">
      <c r="A47" s="25" t="s">
        <v>78</v>
      </c>
    </row>
    <row r="48" ht="30.0" customHeight="1">
      <c r="A48" s="26" t="s">
        <v>51</v>
      </c>
      <c r="B48" s="23"/>
      <c r="C48" s="23"/>
      <c r="D48" s="23"/>
      <c r="E48" s="23"/>
      <c r="F48" s="23"/>
      <c r="G48" s="24"/>
    </row>
    <row r="49" ht="15.75" customHeight="1"/>
    <row r="50" ht="22.5" customHeight="1">
      <c r="A50" s="3" t="s">
        <v>79</v>
      </c>
    </row>
    <row r="51" ht="15.75" customHeight="1">
      <c r="A51" s="5" t="s">
        <v>80</v>
      </c>
      <c r="B51" s="6"/>
      <c r="C51" s="6"/>
      <c r="D51" s="6"/>
      <c r="E51" s="6"/>
      <c r="F51" s="6"/>
      <c r="G51" s="7"/>
    </row>
    <row r="52" ht="30.0" customHeight="1">
      <c r="A52" s="8" t="s">
        <v>9</v>
      </c>
      <c r="B52" s="8" t="s">
        <v>10</v>
      </c>
      <c r="C52" s="8" t="s">
        <v>11</v>
      </c>
      <c r="D52" s="8" t="s">
        <v>12</v>
      </c>
      <c r="E52" s="8" t="s">
        <v>13</v>
      </c>
      <c r="F52" s="8" t="s">
        <v>14</v>
      </c>
      <c r="G52" s="8" t="s">
        <v>15</v>
      </c>
    </row>
    <row r="53" ht="15.75" customHeight="1">
      <c r="A53" s="10" t="s">
        <v>18</v>
      </c>
      <c r="B53" s="10" t="s">
        <v>20</v>
      </c>
      <c r="C53" s="11">
        <v>50.0</v>
      </c>
      <c r="D53" s="11">
        <v>31.59</v>
      </c>
      <c r="E53" s="11">
        <f t="shared" ref="E53:E59" si="10">IF(D53&gt;0,(C53/D53)/SUMPRODUCT($C$53:$C$59/$D$53:$D$59)*100,"")</f>
        <v>73.6523476</v>
      </c>
      <c r="F53" s="11">
        <f t="shared" ref="F53:F59" si="11">IF(E53&lt;&gt;"",E53*3,"")</f>
        <v>220.9570428</v>
      </c>
      <c r="G53" s="10" t="s">
        <v>21</v>
      </c>
    </row>
    <row r="54" ht="15.75" customHeight="1">
      <c r="A54" s="12" t="s">
        <v>16</v>
      </c>
      <c r="B54" s="12" t="s">
        <v>19</v>
      </c>
      <c r="C54" s="13">
        <v>19.24891634612649</v>
      </c>
      <c r="D54" s="13">
        <v>87.78</v>
      </c>
      <c r="E54" s="13">
        <f t="shared" si="10"/>
        <v>10.20415212</v>
      </c>
      <c r="F54" s="13">
        <f t="shared" si="11"/>
        <v>30.61245636</v>
      </c>
      <c r="G54" s="12" t="s">
        <v>21</v>
      </c>
    </row>
    <row r="55" ht="15.75" customHeight="1">
      <c r="A55" s="12" t="s">
        <v>22</v>
      </c>
      <c r="B55" s="12" t="s">
        <v>23</v>
      </c>
      <c r="C55" s="13">
        <v>4.530343563284712</v>
      </c>
      <c r="D55" s="13">
        <v>88.48</v>
      </c>
      <c r="E55" s="13">
        <f t="shared" si="10"/>
        <v>2.38260605</v>
      </c>
      <c r="F55" s="13">
        <f t="shared" si="11"/>
        <v>7.147818149</v>
      </c>
      <c r="G55" s="12" t="s">
        <v>21</v>
      </c>
    </row>
    <row r="56" ht="15.75" customHeight="1">
      <c r="A56" s="12" t="s">
        <v>22</v>
      </c>
      <c r="B56" s="12" t="s">
        <v>66</v>
      </c>
      <c r="C56" s="13">
        <v>4.504130051272017</v>
      </c>
      <c r="D56" s="13">
        <v>86.0</v>
      </c>
      <c r="E56" s="13">
        <f t="shared" si="10"/>
        <v>2.437129947</v>
      </c>
      <c r="F56" s="13">
        <f t="shared" si="11"/>
        <v>7.31138984</v>
      </c>
      <c r="G56" s="12" t="s">
        <v>21</v>
      </c>
    </row>
    <row r="57" ht="15.75" customHeight="1">
      <c r="A57" s="12" t="s">
        <v>16</v>
      </c>
      <c r="B57" s="12" t="s">
        <v>17</v>
      </c>
      <c r="C57" s="13">
        <v>19.203333081962</v>
      </c>
      <c r="D57" s="13">
        <v>88.05</v>
      </c>
      <c r="E57" s="13">
        <f t="shared" si="10"/>
        <v>10.1487714</v>
      </c>
      <c r="F57" s="13">
        <f t="shared" si="11"/>
        <v>30.4463142</v>
      </c>
      <c r="G57" s="12" t="s">
        <v>21</v>
      </c>
    </row>
    <row r="58" ht="15.75" customHeight="1">
      <c r="A58" s="12" t="s">
        <v>24</v>
      </c>
      <c r="B58" s="12" t="s">
        <v>26</v>
      </c>
      <c r="C58" s="13">
        <v>1.513276957354782</v>
      </c>
      <c r="D58" s="13">
        <v>99.89</v>
      </c>
      <c r="E58" s="13">
        <f t="shared" si="10"/>
        <v>0.7049569909</v>
      </c>
      <c r="F58" s="13">
        <f t="shared" si="11"/>
        <v>2.114870973</v>
      </c>
      <c r="G58" s="12" t="s">
        <v>21</v>
      </c>
    </row>
    <row r="59" ht="15.75" customHeight="1">
      <c r="A59" s="14" t="s">
        <v>24</v>
      </c>
      <c r="B59" s="14" t="s">
        <v>70</v>
      </c>
      <c r="C59" s="15">
        <v>1.0</v>
      </c>
      <c r="D59" s="15">
        <v>99.0</v>
      </c>
      <c r="E59" s="15">
        <f t="shared" si="10"/>
        <v>0.4700358911</v>
      </c>
      <c r="F59" s="15">
        <f t="shared" si="11"/>
        <v>1.410107673</v>
      </c>
      <c r="G59" s="14" t="s">
        <v>21</v>
      </c>
    </row>
    <row r="60" ht="15.75" customHeight="1">
      <c r="A60" s="16" t="s">
        <v>27</v>
      </c>
      <c r="B60" s="17"/>
      <c r="C60" s="18">
        <f>SUM(C53:C59)</f>
        <v>100</v>
      </c>
      <c r="D60" s="18"/>
      <c r="E60" s="18">
        <f t="shared" ref="E60:F60" si="12">SUM(E53:E59)</f>
        <v>100</v>
      </c>
      <c r="F60" s="18">
        <f t="shared" si="12"/>
        <v>300</v>
      </c>
      <c r="G60" s="16"/>
    </row>
    <row r="61" ht="15.75" customHeight="1">
      <c r="A61" s="19" t="s">
        <v>33</v>
      </c>
      <c r="B61" s="20">
        <v>12.234496547968634</v>
      </c>
      <c r="C61" s="19" t="s">
        <v>35</v>
      </c>
      <c r="D61" s="20">
        <v>69.53748429133707</v>
      </c>
      <c r="E61" s="19" t="s">
        <v>36</v>
      </c>
      <c r="F61" s="20">
        <v>41.06090991799363</v>
      </c>
      <c r="G61" s="19"/>
    </row>
    <row r="62" ht="15.75" customHeight="1">
      <c r="A62" s="19" t="s">
        <v>37</v>
      </c>
      <c r="B62" s="20">
        <v>0.7751225631211796</v>
      </c>
      <c r="C62" s="19" t="s">
        <v>38</v>
      </c>
      <c r="D62" s="20">
        <v>0.3875612815605897</v>
      </c>
      <c r="E62" s="19" t="s">
        <v>39</v>
      </c>
      <c r="F62" s="20">
        <v>2.0000000000000004</v>
      </c>
      <c r="G62" s="19"/>
    </row>
    <row r="63" ht="15.75" customHeight="1">
      <c r="A63" s="19" t="s">
        <v>40</v>
      </c>
      <c r="B63" s="20">
        <v>3.27148894149797</v>
      </c>
      <c r="C63" s="19" t="s">
        <v>41</v>
      </c>
      <c r="D63" s="20">
        <v>50.0</v>
      </c>
      <c r="E63" s="19" t="s">
        <v>42</v>
      </c>
      <c r="F63" s="20">
        <v>0.0</v>
      </c>
      <c r="G63" s="19"/>
    </row>
    <row r="64" ht="15.75" customHeight="1">
      <c r="A64" s="21" t="s">
        <v>101</v>
      </c>
    </row>
    <row r="65" ht="30.0" customHeight="1">
      <c r="A65" s="26" t="s">
        <v>51</v>
      </c>
      <c r="B65" s="23"/>
      <c r="C65" s="23"/>
      <c r="D65" s="23"/>
      <c r="E65" s="23"/>
      <c r="F65" s="23"/>
      <c r="G65" s="24"/>
    </row>
    <row r="66" ht="15.75" customHeight="1"/>
    <row r="67" ht="22.5" customHeight="1">
      <c r="A67" s="3" t="s">
        <v>109</v>
      </c>
    </row>
    <row r="68" ht="15.75" customHeight="1">
      <c r="A68" s="5" t="s">
        <v>112</v>
      </c>
      <c r="B68" s="6"/>
      <c r="C68" s="6"/>
      <c r="D68" s="6"/>
      <c r="E68" s="6"/>
      <c r="F68" s="6"/>
      <c r="G68" s="7"/>
    </row>
    <row r="69" ht="30.0" customHeight="1">
      <c r="A69" s="8" t="s">
        <v>9</v>
      </c>
      <c r="B69" s="8" t="s">
        <v>10</v>
      </c>
      <c r="C69" s="8" t="s">
        <v>11</v>
      </c>
      <c r="D69" s="8" t="s">
        <v>12</v>
      </c>
      <c r="E69" s="8" t="s">
        <v>13</v>
      </c>
      <c r="F69" s="8" t="s">
        <v>14</v>
      </c>
      <c r="G69" s="8" t="s">
        <v>15</v>
      </c>
    </row>
    <row r="70" ht="15.75" customHeight="1">
      <c r="A70" s="10" t="s">
        <v>18</v>
      </c>
      <c r="B70" s="10" t="s">
        <v>20</v>
      </c>
      <c r="C70" s="11">
        <v>50.0</v>
      </c>
      <c r="D70" s="11">
        <v>31.59</v>
      </c>
      <c r="E70" s="11">
        <f t="shared" ref="E70:E76" si="13">IF(D70&gt;0,(C70/D70)/SUMPRODUCT($C$70:$C$76/$D$70:$D$76)*100,"")</f>
        <v>73.67136528</v>
      </c>
      <c r="F70" s="11">
        <f t="shared" ref="F70:F76" si="14">IF(E70&lt;&gt;"",E70*3,"")</f>
        <v>221.0140958</v>
      </c>
      <c r="G70" s="10" t="s">
        <v>21</v>
      </c>
    </row>
    <row r="71" ht="15.75" customHeight="1">
      <c r="A71" s="12" t="s">
        <v>16</v>
      </c>
      <c r="B71" s="12" t="s">
        <v>19</v>
      </c>
      <c r="C71" s="13">
        <v>7.98780191428259</v>
      </c>
      <c r="D71" s="13">
        <v>87.78</v>
      </c>
      <c r="E71" s="13">
        <f t="shared" si="13"/>
        <v>4.235552311</v>
      </c>
      <c r="F71" s="13">
        <f t="shared" si="14"/>
        <v>12.70665693</v>
      </c>
      <c r="G71" s="12" t="s">
        <v>21</v>
      </c>
    </row>
    <row r="72" ht="15.75" customHeight="1">
      <c r="A72" s="12" t="s">
        <v>22</v>
      </c>
      <c r="B72" s="12" t="s">
        <v>23</v>
      </c>
      <c r="C72" s="13">
        <v>19.128982104341507</v>
      </c>
      <c r="D72" s="13">
        <v>88.48</v>
      </c>
      <c r="E72" s="13">
        <f t="shared" si="13"/>
        <v>10.06294472</v>
      </c>
      <c r="F72" s="13">
        <f t="shared" si="14"/>
        <v>30.18883415</v>
      </c>
      <c r="G72" s="12" t="s">
        <v>21</v>
      </c>
    </row>
    <row r="73" ht="15.75" customHeight="1">
      <c r="A73" s="12" t="s">
        <v>22</v>
      </c>
      <c r="B73" s="12" t="s">
        <v>66</v>
      </c>
      <c r="C73" s="13">
        <v>6.936839913003144</v>
      </c>
      <c r="D73" s="13">
        <v>86.0</v>
      </c>
      <c r="E73" s="13">
        <f t="shared" si="13"/>
        <v>3.754408813</v>
      </c>
      <c r="F73" s="13">
        <f t="shared" si="14"/>
        <v>11.26322644</v>
      </c>
      <c r="G73" s="12" t="s">
        <v>21</v>
      </c>
    </row>
    <row r="74" ht="15.75" customHeight="1">
      <c r="A74" s="12" t="s">
        <v>16</v>
      </c>
      <c r="B74" s="12" t="s">
        <v>17</v>
      </c>
      <c r="C74" s="13">
        <v>13.42256000927515</v>
      </c>
      <c r="D74" s="13">
        <v>88.05</v>
      </c>
      <c r="E74" s="13">
        <f t="shared" si="13"/>
        <v>7.09552172</v>
      </c>
      <c r="F74" s="13">
        <f t="shared" si="14"/>
        <v>21.28656516</v>
      </c>
      <c r="G74" s="12" t="s">
        <v>21</v>
      </c>
    </row>
    <row r="75" ht="15.75" customHeight="1">
      <c r="A75" s="12" t="s">
        <v>24</v>
      </c>
      <c r="B75" s="12" t="s">
        <v>26</v>
      </c>
      <c r="C75" s="13">
        <v>1.5238160590976089</v>
      </c>
      <c r="D75" s="13">
        <v>99.89</v>
      </c>
      <c r="E75" s="13">
        <f t="shared" si="13"/>
        <v>0.7100499038</v>
      </c>
      <c r="F75" s="13">
        <f t="shared" si="14"/>
        <v>2.130149711</v>
      </c>
      <c r="G75" s="12" t="s">
        <v>21</v>
      </c>
    </row>
    <row r="76" ht="15.75" customHeight="1">
      <c r="A76" s="14" t="s">
        <v>24</v>
      </c>
      <c r="B76" s="14" t="s">
        <v>70</v>
      </c>
      <c r="C76" s="15">
        <v>1.0</v>
      </c>
      <c r="D76" s="15">
        <v>99.0</v>
      </c>
      <c r="E76" s="15">
        <f t="shared" si="13"/>
        <v>0.4701572584</v>
      </c>
      <c r="F76" s="15">
        <f t="shared" si="14"/>
        <v>1.410471775</v>
      </c>
      <c r="G76" s="14" t="s">
        <v>21</v>
      </c>
    </row>
    <row r="77" ht="15.75" customHeight="1">
      <c r="A77" s="16" t="s">
        <v>27</v>
      </c>
      <c r="B77" s="17"/>
      <c r="C77" s="18">
        <f>SUM(C70:C76)</f>
        <v>100</v>
      </c>
      <c r="D77" s="18"/>
      <c r="E77" s="18">
        <f t="shared" ref="E77:F77" si="15">SUM(E70:E76)</f>
        <v>100</v>
      </c>
      <c r="F77" s="18">
        <f t="shared" si="15"/>
        <v>300</v>
      </c>
      <c r="G77" s="16"/>
    </row>
    <row r="78" ht="15.75" customHeight="1">
      <c r="A78" s="19" t="s">
        <v>33</v>
      </c>
      <c r="B78" s="20">
        <v>18.068175895765485</v>
      </c>
      <c r="C78" s="19" t="s">
        <v>35</v>
      </c>
      <c r="D78" s="20">
        <v>69.69988572801287</v>
      </c>
      <c r="E78" s="19" t="s">
        <v>36</v>
      </c>
      <c r="F78" s="20">
        <v>39.96284167566197</v>
      </c>
      <c r="G78" s="19"/>
    </row>
    <row r="79" ht="15.75" customHeight="1">
      <c r="A79" s="19" t="s">
        <v>37</v>
      </c>
      <c r="B79" s="20">
        <v>0.8143322475569934</v>
      </c>
      <c r="C79" s="19" t="s">
        <v>38</v>
      </c>
      <c r="D79" s="20">
        <v>0.4071661237785019</v>
      </c>
      <c r="E79" s="19" t="s">
        <v>39</v>
      </c>
      <c r="F79" s="20">
        <v>1.9999999999999745</v>
      </c>
      <c r="G79" s="19"/>
    </row>
    <row r="80" ht="15.75" customHeight="1">
      <c r="A80" s="19" t="s">
        <v>40</v>
      </c>
      <c r="B80" s="20">
        <v>2.9222801525651336</v>
      </c>
      <c r="C80" s="19" t="s">
        <v>41</v>
      </c>
      <c r="D80" s="20">
        <v>50.0</v>
      </c>
      <c r="E80" s="19" t="s">
        <v>42</v>
      </c>
      <c r="F80" s="20">
        <v>0.0</v>
      </c>
      <c r="G80" s="19"/>
    </row>
    <row r="81" ht="15.75" customHeight="1">
      <c r="A81" s="25" t="s">
        <v>118</v>
      </c>
    </row>
    <row r="82" ht="30.0" customHeight="1">
      <c r="A82" s="26" t="s">
        <v>51</v>
      </c>
      <c r="B82" s="23"/>
      <c r="C82" s="23"/>
      <c r="D82" s="23"/>
      <c r="E82" s="23"/>
      <c r="F82" s="23"/>
      <c r="G82" s="24"/>
    </row>
    <row r="83" ht="15.75" customHeight="1"/>
    <row r="84" ht="22.5" customHeight="1">
      <c r="A84" s="3" t="s">
        <v>121</v>
      </c>
    </row>
    <row r="85" ht="15.75" customHeight="1">
      <c r="A85" s="5" t="s">
        <v>122</v>
      </c>
      <c r="B85" s="6"/>
      <c r="C85" s="6"/>
      <c r="D85" s="6"/>
      <c r="E85" s="6"/>
      <c r="F85" s="6"/>
      <c r="G85" s="7"/>
    </row>
    <row r="86" ht="30.0" customHeight="1">
      <c r="A86" s="8" t="s">
        <v>9</v>
      </c>
      <c r="B86" s="8" t="s">
        <v>10</v>
      </c>
      <c r="C86" s="8" t="s">
        <v>11</v>
      </c>
      <c r="D86" s="8" t="s">
        <v>12</v>
      </c>
      <c r="E86" s="8" t="s">
        <v>13</v>
      </c>
      <c r="F86" s="8" t="s">
        <v>14</v>
      </c>
      <c r="G86" s="8" t="s">
        <v>15</v>
      </c>
    </row>
    <row r="87" ht="15.75" customHeight="1">
      <c r="A87" s="10" t="s">
        <v>18</v>
      </c>
      <c r="B87" s="10" t="s">
        <v>20</v>
      </c>
      <c r="C87" s="11">
        <v>50.0</v>
      </c>
      <c r="D87" s="11">
        <v>31.59</v>
      </c>
      <c r="E87" s="11">
        <f t="shared" ref="E87:E92" si="16">IF(D87&gt;0,(C87/D87)/SUMPRODUCT($C$87:$C$92/$D$87:$D$92)*100,"")</f>
        <v>73.76224716</v>
      </c>
      <c r="F87" s="11">
        <f t="shared" ref="F87:F92" si="17">IF(E87&lt;&gt;"",E87*3,"")</f>
        <v>221.2867415</v>
      </c>
      <c r="G87" s="10" t="s">
        <v>21</v>
      </c>
    </row>
    <row r="88" ht="15.75" customHeight="1">
      <c r="A88" s="12" t="s">
        <v>22</v>
      </c>
      <c r="B88" s="12" t="s">
        <v>23</v>
      </c>
      <c r="C88" s="13">
        <v>10.966078473286032</v>
      </c>
      <c r="D88" s="13">
        <v>88.48</v>
      </c>
      <c r="E88" s="13">
        <f t="shared" si="16"/>
        <v>5.775904394</v>
      </c>
      <c r="F88" s="13">
        <f t="shared" si="17"/>
        <v>17.32771318</v>
      </c>
      <c r="G88" s="12" t="s">
        <v>21</v>
      </c>
    </row>
    <row r="89" ht="15.75" customHeight="1">
      <c r="A89" s="12" t="s">
        <v>16</v>
      </c>
      <c r="B89" s="12" t="s">
        <v>17</v>
      </c>
      <c r="C89" s="13">
        <v>35.794718510198756</v>
      </c>
      <c r="D89" s="13">
        <v>88.05</v>
      </c>
      <c r="E89" s="13">
        <f t="shared" si="16"/>
        <v>18.94538136</v>
      </c>
      <c r="F89" s="13">
        <f t="shared" si="17"/>
        <v>56.83614407</v>
      </c>
      <c r="G89" s="12" t="s">
        <v>21</v>
      </c>
    </row>
    <row r="90" ht="15.75" customHeight="1">
      <c r="A90" s="12" t="s">
        <v>24</v>
      </c>
      <c r="B90" s="12" t="s">
        <v>70</v>
      </c>
      <c r="C90" s="13">
        <v>1.0</v>
      </c>
      <c r="D90" s="13">
        <v>99.0</v>
      </c>
      <c r="E90" s="13">
        <f t="shared" si="16"/>
        <v>0.47073725</v>
      </c>
      <c r="F90" s="13">
        <f t="shared" si="17"/>
        <v>1.41221175</v>
      </c>
      <c r="G90" s="12" t="s">
        <v>21</v>
      </c>
    </row>
    <row r="91" ht="15.75" customHeight="1">
      <c r="A91" s="12" t="s">
        <v>24</v>
      </c>
      <c r="B91" s="12" t="s">
        <v>26</v>
      </c>
      <c r="C91" s="13">
        <v>1.9900042065490546</v>
      </c>
      <c r="D91" s="13">
        <v>99.89</v>
      </c>
      <c r="E91" s="13">
        <f t="shared" si="16"/>
        <v>0.9284226816</v>
      </c>
      <c r="F91" s="13">
        <f t="shared" si="17"/>
        <v>2.785268045</v>
      </c>
      <c r="G91" s="12" t="s">
        <v>21</v>
      </c>
    </row>
    <row r="92" ht="15.75" customHeight="1">
      <c r="A92" s="14" t="s">
        <v>22</v>
      </c>
      <c r="B92" s="14" t="s">
        <v>25</v>
      </c>
      <c r="C92" s="15">
        <v>0.24919880996615426</v>
      </c>
      <c r="D92" s="15">
        <v>99.0</v>
      </c>
      <c r="E92" s="15">
        <f t="shared" si="16"/>
        <v>0.1173071625</v>
      </c>
      <c r="F92" s="15">
        <f t="shared" si="17"/>
        <v>0.3519214875</v>
      </c>
      <c r="G92" s="14" t="s">
        <v>21</v>
      </c>
    </row>
    <row r="93" ht="15.75" customHeight="1">
      <c r="A93" s="16" t="s">
        <v>27</v>
      </c>
      <c r="B93" s="17"/>
      <c r="C93" s="18">
        <f>SUM(C87:C92)</f>
        <v>100</v>
      </c>
      <c r="D93" s="18"/>
      <c r="E93" s="18">
        <f t="shared" ref="E93:F93" si="18">SUM(E87:E92)</f>
        <v>100</v>
      </c>
      <c r="F93" s="18">
        <f t="shared" si="18"/>
        <v>300</v>
      </c>
      <c r="G93" s="16"/>
    </row>
    <row r="94" ht="15.75" customHeight="1">
      <c r="A94" s="19" t="s">
        <v>33</v>
      </c>
      <c r="B94" s="20">
        <v>15.80787234042553</v>
      </c>
      <c r="C94" s="19" t="s">
        <v>35</v>
      </c>
      <c r="D94" s="20">
        <v>65.95744680851062</v>
      </c>
      <c r="E94" s="19" t="s">
        <v>36</v>
      </c>
      <c r="F94" s="20">
        <v>45.055844518427435</v>
      </c>
      <c r="G94" s="19"/>
    </row>
    <row r="95" ht="15.75" customHeight="1">
      <c r="A95" s="19" t="s">
        <v>37</v>
      </c>
      <c r="B95" s="20">
        <v>0.9974645952772934</v>
      </c>
      <c r="C95" s="19" t="s">
        <v>38</v>
      </c>
      <c r="D95" s="20">
        <v>0.49775547356527344</v>
      </c>
      <c r="E95" s="19" t="s">
        <v>39</v>
      </c>
      <c r="F95" s="20">
        <v>2.00392491544644</v>
      </c>
      <c r="G95" s="19"/>
    </row>
    <row r="96" ht="15.75" customHeight="1">
      <c r="A96" s="19" t="s">
        <v>40</v>
      </c>
      <c r="B96" s="20">
        <v>3.038357295947621</v>
      </c>
      <c r="C96" s="19" t="s">
        <v>41</v>
      </c>
      <c r="D96" s="20">
        <v>50.0</v>
      </c>
      <c r="E96" s="19" t="s">
        <v>42</v>
      </c>
      <c r="F96" s="20">
        <v>0.0</v>
      </c>
      <c r="G96" s="19"/>
    </row>
    <row r="97" ht="15.75" customHeight="1">
      <c r="A97" s="21" t="s">
        <v>126</v>
      </c>
    </row>
    <row r="98" ht="30.0" customHeight="1">
      <c r="A98" s="26" t="s">
        <v>51</v>
      </c>
      <c r="B98" s="23"/>
      <c r="C98" s="23"/>
      <c r="D98" s="23"/>
      <c r="E98" s="23"/>
      <c r="F98" s="23"/>
      <c r="G98" s="24"/>
    </row>
    <row r="99" ht="15.75" customHeight="1"/>
    <row r="100" ht="22.5" customHeight="1">
      <c r="A100" s="3" t="s">
        <v>127</v>
      </c>
    </row>
    <row r="101" ht="15.75" customHeight="1">
      <c r="A101" s="5" t="s">
        <v>8</v>
      </c>
      <c r="B101" s="6"/>
      <c r="C101" s="6"/>
      <c r="D101" s="6"/>
      <c r="E101" s="6"/>
      <c r="F101" s="6"/>
      <c r="G101" s="7"/>
    </row>
    <row r="102" ht="30.0" customHeight="1">
      <c r="A102" s="8" t="s">
        <v>9</v>
      </c>
      <c r="B102" s="8" t="s">
        <v>10</v>
      </c>
      <c r="C102" s="8" t="s">
        <v>11</v>
      </c>
      <c r="D102" s="8" t="s">
        <v>12</v>
      </c>
      <c r="E102" s="8" t="s">
        <v>13</v>
      </c>
      <c r="F102" s="8" t="s">
        <v>14</v>
      </c>
      <c r="G102" s="8" t="s">
        <v>15</v>
      </c>
    </row>
    <row r="103" ht="15.75" customHeight="1">
      <c r="A103" s="10" t="s">
        <v>18</v>
      </c>
      <c r="B103" s="10" t="s">
        <v>20</v>
      </c>
      <c r="C103" s="11">
        <v>50.0</v>
      </c>
      <c r="D103" s="11">
        <v>31.59</v>
      </c>
      <c r="E103" s="11">
        <f t="shared" ref="E103:E107" si="19">IF(D103&gt;0,(C103/D103)/SUMPRODUCT($C$103:$C$107/$D$103:$D$107)*100,"")</f>
        <v>73.69208121</v>
      </c>
      <c r="F103" s="11">
        <f t="shared" ref="F103:F107" si="20">IF(E103&lt;&gt;"",E103*3,"")</f>
        <v>221.0762436</v>
      </c>
      <c r="G103" s="10" t="s">
        <v>21</v>
      </c>
    </row>
    <row r="104" ht="15.75" customHeight="1">
      <c r="A104" s="12" t="s">
        <v>16</v>
      </c>
      <c r="B104" s="12" t="s">
        <v>19</v>
      </c>
      <c r="C104" s="13">
        <v>28.06293557528146</v>
      </c>
      <c r="D104" s="13">
        <v>87.78</v>
      </c>
      <c r="E104" s="13">
        <f t="shared" si="19"/>
        <v>14.88462736</v>
      </c>
      <c r="F104" s="13">
        <f t="shared" si="20"/>
        <v>44.65388207</v>
      </c>
      <c r="G104" s="12" t="s">
        <v>21</v>
      </c>
    </row>
    <row r="105" ht="15.75" customHeight="1">
      <c r="A105" s="12" t="s">
        <v>22</v>
      </c>
      <c r="B105" s="12" t="s">
        <v>23</v>
      </c>
      <c r="C105" s="13">
        <v>19.869035171283983</v>
      </c>
      <c r="D105" s="13">
        <v>88.48</v>
      </c>
      <c r="E105" s="13">
        <f t="shared" si="19"/>
        <v>10.4551943</v>
      </c>
      <c r="F105" s="13">
        <f t="shared" si="20"/>
        <v>31.3655829</v>
      </c>
      <c r="G105" s="12" t="s">
        <v>21</v>
      </c>
    </row>
    <row r="106" ht="15.75" customHeight="1">
      <c r="A106" s="12" t="s">
        <v>24</v>
      </c>
      <c r="B106" s="12" t="s">
        <v>26</v>
      </c>
      <c r="C106" s="13">
        <v>1.068029253434555</v>
      </c>
      <c r="D106" s="13">
        <v>99.89</v>
      </c>
      <c r="E106" s="13">
        <f t="shared" si="19"/>
        <v>0.4978076643</v>
      </c>
      <c r="F106" s="13">
        <f t="shared" si="20"/>
        <v>1.493422993</v>
      </c>
      <c r="G106" s="12" t="s">
        <v>21</v>
      </c>
    </row>
    <row r="107" ht="15.75" customHeight="1">
      <c r="A107" s="14" t="s">
        <v>22</v>
      </c>
      <c r="B107" s="14" t="s">
        <v>25</v>
      </c>
      <c r="C107" s="15">
        <v>1.0</v>
      </c>
      <c r="D107" s="15">
        <v>99.0</v>
      </c>
      <c r="E107" s="15">
        <f t="shared" si="19"/>
        <v>0.4702894638</v>
      </c>
      <c r="F107" s="15">
        <f t="shared" si="20"/>
        <v>1.410868391</v>
      </c>
      <c r="G107" s="14" t="s">
        <v>21</v>
      </c>
    </row>
    <row r="108" ht="15.75" customHeight="1">
      <c r="A108" s="16" t="s">
        <v>27</v>
      </c>
      <c r="B108" s="17"/>
      <c r="C108" s="18">
        <f>SUM(C103:C107)</f>
        <v>100</v>
      </c>
      <c r="D108" s="18"/>
      <c r="E108" s="18">
        <f t="shared" ref="E108:F108" si="21">SUM(E103:E107)</f>
        <v>100</v>
      </c>
      <c r="F108" s="18">
        <f t="shared" si="21"/>
        <v>300</v>
      </c>
      <c r="G108" s="16"/>
    </row>
    <row r="109" ht="15.75" customHeight="1">
      <c r="A109" s="19" t="s">
        <v>33</v>
      </c>
      <c r="B109" s="20">
        <v>18.676868686868684</v>
      </c>
      <c r="C109" s="19" t="s">
        <v>35</v>
      </c>
      <c r="D109" s="20">
        <v>71.74781556919221</v>
      </c>
      <c r="E109" s="19" t="s">
        <v>36</v>
      </c>
      <c r="F109" s="20">
        <v>34.72712713510935</v>
      </c>
      <c r="G109" s="19"/>
    </row>
    <row r="110" ht="15.75" customHeight="1">
      <c r="A110" s="19" t="s">
        <v>37</v>
      </c>
      <c r="B110" s="20">
        <v>0.6228956228956279</v>
      </c>
      <c r="C110" s="19" t="s">
        <v>38</v>
      </c>
      <c r="D110" s="20">
        <v>0.2785176423398658</v>
      </c>
      <c r="E110" s="19" t="s">
        <v>39</v>
      </c>
      <c r="F110" s="20">
        <v>2.2364673837628177</v>
      </c>
      <c r="G110" s="19"/>
    </row>
    <row r="111" ht="15.75" customHeight="1">
      <c r="A111" s="19" t="s">
        <v>40</v>
      </c>
      <c r="B111" s="20">
        <v>3.085738822544235</v>
      </c>
      <c r="C111" s="19" t="s">
        <v>41</v>
      </c>
      <c r="D111" s="20">
        <v>50.0</v>
      </c>
      <c r="E111" s="19" t="s">
        <v>42</v>
      </c>
      <c r="F111" s="20">
        <v>1.0</v>
      </c>
      <c r="G111" s="19"/>
    </row>
    <row r="112" ht="15.75" customHeight="1">
      <c r="A112" s="21" t="s">
        <v>132</v>
      </c>
    </row>
    <row r="113" ht="30.0" customHeight="1">
      <c r="A113" s="22" t="s">
        <v>62</v>
      </c>
      <c r="B113" s="23"/>
      <c r="C113" s="23"/>
      <c r="D113" s="23"/>
      <c r="E113" s="23"/>
      <c r="F113" s="23"/>
      <c r="G113" s="24"/>
    </row>
    <row r="114" ht="15.75" customHeight="1"/>
    <row r="115" ht="22.5" customHeight="1">
      <c r="A115" s="3" t="s">
        <v>135</v>
      </c>
    </row>
    <row r="116" ht="15.75" customHeight="1">
      <c r="A116" s="5" t="s">
        <v>8</v>
      </c>
      <c r="B116" s="6"/>
      <c r="C116" s="6"/>
      <c r="D116" s="6"/>
      <c r="E116" s="6"/>
      <c r="F116" s="6"/>
      <c r="G116" s="7"/>
    </row>
    <row r="117" ht="30.0" customHeight="1">
      <c r="A117" s="8" t="s">
        <v>9</v>
      </c>
      <c r="B117" s="8" t="s">
        <v>10</v>
      </c>
      <c r="C117" s="8" t="s">
        <v>11</v>
      </c>
      <c r="D117" s="8" t="s">
        <v>12</v>
      </c>
      <c r="E117" s="8" t="s">
        <v>13</v>
      </c>
      <c r="F117" s="8" t="s">
        <v>14</v>
      </c>
      <c r="G117" s="8" t="s">
        <v>15</v>
      </c>
    </row>
    <row r="118" ht="15.75" customHeight="1">
      <c r="A118" s="10" t="s">
        <v>18</v>
      </c>
      <c r="B118" s="10" t="s">
        <v>20</v>
      </c>
      <c r="C118" s="11">
        <v>50.0</v>
      </c>
      <c r="D118" s="11">
        <v>31.59</v>
      </c>
      <c r="E118" s="11">
        <f t="shared" ref="E118:E121" si="22">IF(D118&gt;0,(C118/D118)/SUMPRODUCT($C$118:$C$121/$D$118:$D$121)*100,"")</f>
        <v>73.66623981</v>
      </c>
      <c r="F118" s="11">
        <f t="shared" ref="F118:F121" si="23">IF(E118&lt;&gt;"",E118*3,"")</f>
        <v>220.9987194</v>
      </c>
      <c r="G118" s="10" t="s">
        <v>21</v>
      </c>
    </row>
    <row r="119" ht="15.75" customHeight="1">
      <c r="A119" s="12" t="s">
        <v>16</v>
      </c>
      <c r="B119" s="12" t="s">
        <v>19</v>
      </c>
      <c r="C119" s="13">
        <v>22.30074472166885</v>
      </c>
      <c r="D119" s="13">
        <v>87.78</v>
      </c>
      <c r="E119" s="13">
        <f t="shared" si="22"/>
        <v>11.824204</v>
      </c>
      <c r="F119" s="13">
        <f t="shared" si="23"/>
        <v>35.472612</v>
      </c>
      <c r="G119" s="12" t="s">
        <v>21</v>
      </c>
    </row>
    <row r="120" ht="15.75" customHeight="1">
      <c r="A120" s="12" t="s">
        <v>22</v>
      </c>
      <c r="B120" s="12" t="s">
        <v>23</v>
      </c>
      <c r="C120" s="13">
        <v>26.68683535110094</v>
      </c>
      <c r="D120" s="13">
        <v>88.48</v>
      </c>
      <c r="E120" s="13">
        <f t="shared" si="22"/>
        <v>14.03783347</v>
      </c>
      <c r="F120" s="13">
        <f t="shared" si="23"/>
        <v>42.11350042</v>
      </c>
      <c r="G120" s="12" t="s">
        <v>21</v>
      </c>
    </row>
    <row r="121" ht="15.75" customHeight="1">
      <c r="A121" s="14" t="s">
        <v>24</v>
      </c>
      <c r="B121" s="14" t="s">
        <v>26</v>
      </c>
      <c r="C121" s="15">
        <v>1.0124199272302137</v>
      </c>
      <c r="D121" s="15">
        <v>99.89</v>
      </c>
      <c r="E121" s="15">
        <f t="shared" si="22"/>
        <v>0.4717227216</v>
      </c>
      <c r="F121" s="15">
        <f t="shared" si="23"/>
        <v>1.415168165</v>
      </c>
      <c r="G121" s="14" t="s">
        <v>21</v>
      </c>
    </row>
    <row r="122" ht="15.75" customHeight="1">
      <c r="A122" s="16" t="s">
        <v>27</v>
      </c>
      <c r="B122" s="17"/>
      <c r="C122" s="18">
        <f>SUM(C118:C121)</f>
        <v>100</v>
      </c>
      <c r="D122" s="18"/>
      <c r="E122" s="18">
        <f t="shared" ref="E122:F122" si="24">SUM(E118:E121)</f>
        <v>100</v>
      </c>
      <c r="F122" s="18">
        <f t="shared" si="24"/>
        <v>300</v>
      </c>
      <c r="G122" s="16"/>
    </row>
    <row r="123" ht="15.75" customHeight="1">
      <c r="A123" s="19" t="s">
        <v>33</v>
      </c>
      <c r="B123" s="20">
        <v>18.676868686868684</v>
      </c>
      <c r="C123" s="19" t="s">
        <v>35</v>
      </c>
      <c r="D123" s="20">
        <v>72.2946128629955</v>
      </c>
      <c r="E123" s="19" t="s">
        <v>36</v>
      </c>
      <c r="F123" s="20">
        <v>34.94584375891236</v>
      </c>
      <c r="G123" s="19"/>
    </row>
    <row r="124" ht="15.75" customHeight="1">
      <c r="A124" s="19" t="s">
        <v>37</v>
      </c>
      <c r="B124" s="20">
        <v>0.6228956228956186</v>
      </c>
      <c r="C124" s="19" t="s">
        <v>38</v>
      </c>
      <c r="D124" s="20">
        <v>0.3029680652981705</v>
      </c>
      <c r="E124" s="19" t="s">
        <v>39</v>
      </c>
      <c r="F124" s="20">
        <v>2.055977821565407</v>
      </c>
      <c r="G124" s="19"/>
    </row>
    <row r="125" ht="15.75" customHeight="1">
      <c r="A125" s="19" t="s">
        <v>40</v>
      </c>
      <c r="B125" s="20">
        <v>2.9641907480100245</v>
      </c>
      <c r="C125" s="19" t="s">
        <v>41</v>
      </c>
      <c r="D125" s="20">
        <v>50.0</v>
      </c>
      <c r="E125" s="19" t="s">
        <v>42</v>
      </c>
      <c r="F125" s="20">
        <v>1.0</v>
      </c>
      <c r="G125" s="19"/>
    </row>
    <row r="126" ht="15.75" customHeight="1">
      <c r="A126" s="21" t="s">
        <v>137</v>
      </c>
    </row>
    <row r="127" ht="30.0" customHeight="1">
      <c r="A127" s="22" t="s">
        <v>138</v>
      </c>
      <c r="B127" s="23"/>
      <c r="C127" s="23"/>
      <c r="D127" s="23"/>
      <c r="E127" s="23"/>
      <c r="F127" s="23"/>
      <c r="G127" s="24"/>
    </row>
    <row r="128" ht="15.75" customHeight="1"/>
    <row r="129" ht="22.5" customHeight="1">
      <c r="A129" s="3" t="s">
        <v>139</v>
      </c>
    </row>
    <row r="130" ht="15.75" customHeight="1">
      <c r="A130" s="5" t="s">
        <v>8</v>
      </c>
      <c r="B130" s="6"/>
      <c r="C130" s="6"/>
      <c r="D130" s="6"/>
      <c r="E130" s="6"/>
      <c r="F130" s="6"/>
      <c r="G130" s="7"/>
    </row>
    <row r="131" ht="30.0" customHeight="1">
      <c r="A131" s="8" t="s">
        <v>9</v>
      </c>
      <c r="B131" s="8" t="s">
        <v>10</v>
      </c>
      <c r="C131" s="8" t="s">
        <v>11</v>
      </c>
      <c r="D131" s="8" t="s">
        <v>12</v>
      </c>
      <c r="E131" s="8" t="s">
        <v>13</v>
      </c>
      <c r="F131" s="8" t="s">
        <v>14</v>
      </c>
      <c r="G131" s="8" t="s">
        <v>15</v>
      </c>
    </row>
    <row r="132" ht="15.75" customHeight="1">
      <c r="A132" s="10" t="s">
        <v>18</v>
      </c>
      <c r="B132" s="10" t="s">
        <v>20</v>
      </c>
      <c r="C132" s="11">
        <v>50.0</v>
      </c>
      <c r="D132" s="11">
        <v>31.59</v>
      </c>
      <c r="E132" s="11">
        <f t="shared" ref="E132:E135" si="25">IF(D132&gt;0,(C132/D132)/SUMPRODUCT($C$132:$C$135/$D$132:$D$135)*100,"")</f>
        <v>73.66626116</v>
      </c>
      <c r="F132" s="11">
        <f t="shared" ref="F132:F135" si="26">IF(E132&lt;&gt;"",E132*3,"")</f>
        <v>220.9987835</v>
      </c>
      <c r="G132" s="10" t="s">
        <v>21</v>
      </c>
    </row>
    <row r="133" ht="15.75" customHeight="1">
      <c r="A133" s="12" t="s">
        <v>16</v>
      </c>
      <c r="B133" s="12" t="s">
        <v>19</v>
      </c>
      <c r="C133" s="13">
        <v>22.29292721483659</v>
      </c>
      <c r="D133" s="13">
        <v>87.78</v>
      </c>
      <c r="E133" s="13">
        <f t="shared" si="25"/>
        <v>11.82006246</v>
      </c>
      <c r="F133" s="13">
        <f t="shared" si="26"/>
        <v>35.46018738</v>
      </c>
      <c r="G133" s="12" t="s">
        <v>21</v>
      </c>
    </row>
    <row r="134" ht="15.75" customHeight="1">
      <c r="A134" s="12" t="s">
        <v>22</v>
      </c>
      <c r="B134" s="12" t="s">
        <v>23</v>
      </c>
      <c r="C134" s="13">
        <v>26.69471620887997</v>
      </c>
      <c r="D134" s="13">
        <v>88.48</v>
      </c>
      <c r="E134" s="13">
        <f t="shared" si="25"/>
        <v>14.04198304</v>
      </c>
      <c r="F134" s="13">
        <f t="shared" si="26"/>
        <v>42.12594912</v>
      </c>
      <c r="G134" s="12" t="s">
        <v>21</v>
      </c>
    </row>
    <row r="135" ht="15.75" customHeight="1">
      <c r="A135" s="14" t="s">
        <v>24</v>
      </c>
      <c r="B135" s="14" t="s">
        <v>26</v>
      </c>
      <c r="C135" s="15">
        <v>1.0123565762834432</v>
      </c>
      <c r="D135" s="15">
        <v>99.89</v>
      </c>
      <c r="E135" s="15">
        <f t="shared" si="25"/>
        <v>0.4716933409</v>
      </c>
      <c r="F135" s="15">
        <f t="shared" si="26"/>
        <v>1.415080023</v>
      </c>
      <c r="G135" s="14" t="s">
        <v>21</v>
      </c>
    </row>
    <row r="136" ht="15.75" customHeight="1">
      <c r="A136" s="16" t="s">
        <v>27</v>
      </c>
      <c r="B136" s="17"/>
      <c r="C136" s="18">
        <f>SUM(C132:C135)</f>
        <v>100</v>
      </c>
      <c r="D136" s="18"/>
      <c r="E136" s="18">
        <f t="shared" ref="E136:F136" si="27">SUM(E132:E135)</f>
        <v>100</v>
      </c>
      <c r="F136" s="18">
        <f t="shared" si="27"/>
        <v>300</v>
      </c>
      <c r="G136" s="16"/>
    </row>
    <row r="137" ht="15.75" customHeight="1">
      <c r="A137" s="19" t="s">
        <v>33</v>
      </c>
      <c r="B137" s="20">
        <v>18.680000000000003</v>
      </c>
      <c r="C137" s="19" t="s">
        <v>35</v>
      </c>
      <c r="D137" s="20">
        <v>72.29424967835273</v>
      </c>
      <c r="E137" s="19" t="s">
        <v>36</v>
      </c>
      <c r="F137" s="20">
        <v>34.945930107519835</v>
      </c>
      <c r="G137" s="19"/>
    </row>
    <row r="138" ht="15.75" customHeight="1">
      <c r="A138" s="19" t="s">
        <v>37</v>
      </c>
      <c r="B138" s="20">
        <v>0.622895622895621</v>
      </c>
      <c r="C138" s="19" t="s">
        <v>38</v>
      </c>
      <c r="D138" s="20">
        <v>0.30299343608533563</v>
      </c>
      <c r="E138" s="19" t="s">
        <v>39</v>
      </c>
      <c r="F138" s="20">
        <v>2.0558056667610036</v>
      </c>
      <c r="G138" s="19"/>
    </row>
    <row r="139" ht="15.75" customHeight="1">
      <c r="A139" s="19" t="s">
        <v>40</v>
      </c>
      <c r="B139" s="20">
        <v>2.964001891235569</v>
      </c>
      <c r="C139" s="19" t="s">
        <v>41</v>
      </c>
      <c r="D139" s="20">
        <v>50.0</v>
      </c>
      <c r="E139" s="19" t="s">
        <v>42</v>
      </c>
      <c r="F139" s="20">
        <v>1.0</v>
      </c>
      <c r="G139" s="19"/>
    </row>
    <row r="140" ht="15.75" customHeight="1">
      <c r="A140" s="21" t="s">
        <v>137</v>
      </c>
    </row>
    <row r="141" ht="30.0" customHeight="1">
      <c r="A141" s="22" t="s">
        <v>138</v>
      </c>
      <c r="B141" s="23"/>
      <c r="C141" s="23"/>
      <c r="D141" s="23"/>
      <c r="E141" s="23"/>
      <c r="F141" s="23"/>
      <c r="G141" s="24"/>
    </row>
    <row r="142" ht="15.75" customHeight="1"/>
    <row r="143" ht="22.5" customHeight="1">
      <c r="A143" s="3" t="s">
        <v>149</v>
      </c>
    </row>
    <row r="144" ht="15.75" customHeight="1">
      <c r="A144" s="5" t="s">
        <v>151</v>
      </c>
      <c r="B144" s="6"/>
      <c r="C144" s="6"/>
      <c r="D144" s="6"/>
      <c r="E144" s="6"/>
      <c r="F144" s="6"/>
      <c r="G144" s="7"/>
    </row>
    <row r="145" ht="30.0" customHeight="1">
      <c r="A145" s="8" t="s">
        <v>9</v>
      </c>
      <c r="B145" s="8" t="s">
        <v>10</v>
      </c>
      <c r="C145" s="8" t="s">
        <v>11</v>
      </c>
      <c r="D145" s="8" t="s">
        <v>12</v>
      </c>
      <c r="E145" s="8" t="s">
        <v>13</v>
      </c>
      <c r="F145" s="8" t="s">
        <v>14</v>
      </c>
      <c r="G145" s="8" t="s">
        <v>15</v>
      </c>
    </row>
    <row r="146" ht="15.75" customHeight="1">
      <c r="A146" s="10" t="s">
        <v>18</v>
      </c>
      <c r="B146" s="10" t="s">
        <v>20</v>
      </c>
      <c r="C146" s="11">
        <v>50.0</v>
      </c>
      <c r="D146" s="11">
        <v>31.59</v>
      </c>
      <c r="E146" s="11">
        <f t="shared" ref="E146:E150" si="28">IF(D146&gt;0,(C146/D146)/SUMPRODUCT($C$146:$C$150/$D$146:$D$150)*100,"")</f>
        <v>73.7112846</v>
      </c>
      <c r="F146" s="11">
        <f t="shared" ref="F146:F150" si="29">IF(E146&lt;&gt;"",E146*3,"")</f>
        <v>221.1338538</v>
      </c>
      <c r="G146" s="10" t="s">
        <v>21</v>
      </c>
    </row>
    <row r="147" ht="15.75" customHeight="1">
      <c r="A147" s="12" t="s">
        <v>16</v>
      </c>
      <c r="B147" s="12" t="s">
        <v>19</v>
      </c>
      <c r="C147" s="13">
        <v>21.06475389459163</v>
      </c>
      <c r="D147" s="13">
        <v>87.78</v>
      </c>
      <c r="E147" s="13">
        <f t="shared" si="28"/>
        <v>11.17569175</v>
      </c>
      <c r="F147" s="13">
        <f t="shared" si="29"/>
        <v>33.52707525</v>
      </c>
      <c r="G147" s="12" t="s">
        <v>21</v>
      </c>
    </row>
    <row r="148" ht="15.75" customHeight="1">
      <c r="A148" s="12" t="s">
        <v>22</v>
      </c>
      <c r="B148" s="12" t="s">
        <v>23</v>
      </c>
      <c r="C148" s="13">
        <v>26.923928210812477</v>
      </c>
      <c r="D148" s="13">
        <v>88.48</v>
      </c>
      <c r="E148" s="13">
        <f t="shared" si="28"/>
        <v>14.17120927</v>
      </c>
      <c r="F148" s="13">
        <f t="shared" si="29"/>
        <v>42.51362781</v>
      </c>
      <c r="G148" s="12" t="s">
        <v>21</v>
      </c>
    </row>
    <row r="149" ht="15.75" customHeight="1">
      <c r="A149" s="12" t="s">
        <v>24</v>
      </c>
      <c r="B149" s="12" t="s">
        <v>26</v>
      </c>
      <c r="C149" s="13">
        <v>1.0113178945958916</v>
      </c>
      <c r="D149" s="13">
        <v>99.89</v>
      </c>
      <c r="E149" s="13">
        <f t="shared" si="28"/>
        <v>0.4714973761</v>
      </c>
      <c r="F149" s="13">
        <f t="shared" si="29"/>
        <v>1.414492128</v>
      </c>
      <c r="G149" s="12" t="s">
        <v>21</v>
      </c>
    </row>
    <row r="150" ht="15.75" customHeight="1">
      <c r="A150" s="14" t="s">
        <v>164</v>
      </c>
      <c r="B150" s="14" t="s">
        <v>165</v>
      </c>
      <c r="C150" s="15">
        <v>1.0</v>
      </c>
      <c r="D150" s="15">
        <v>99.02</v>
      </c>
      <c r="E150" s="15">
        <f t="shared" si="28"/>
        <v>0.4703170027</v>
      </c>
      <c r="F150" s="15">
        <f t="shared" si="29"/>
        <v>1.410951008</v>
      </c>
      <c r="G150" s="14" t="s">
        <v>31</v>
      </c>
    </row>
    <row r="151" ht="15.75" customHeight="1">
      <c r="A151" s="16" t="s">
        <v>27</v>
      </c>
      <c r="B151" s="17"/>
      <c r="C151" s="18">
        <f>SUM(C146:C150)</f>
        <v>100</v>
      </c>
      <c r="D151" s="18"/>
      <c r="E151" s="18">
        <f t="shared" ref="E151:F151" si="30">SUM(E146:E150)</f>
        <v>100</v>
      </c>
      <c r="F151" s="18">
        <f t="shared" si="30"/>
        <v>300</v>
      </c>
      <c r="G151" s="16"/>
    </row>
    <row r="152" ht="15.75" customHeight="1">
      <c r="A152" s="19" t="s">
        <v>33</v>
      </c>
      <c r="B152" s="20">
        <v>18.680000000000003</v>
      </c>
      <c r="C152" s="19" t="s">
        <v>35</v>
      </c>
      <c r="D152" s="20">
        <v>71.42269502010609</v>
      </c>
      <c r="E152" s="19" t="s">
        <v>36</v>
      </c>
      <c r="F152" s="20">
        <v>34.804425851433614</v>
      </c>
      <c r="G152" s="19"/>
    </row>
    <row r="153" ht="15.75" customHeight="1">
      <c r="A153" s="19" t="s">
        <v>37</v>
      </c>
      <c r="B153" s="20">
        <v>0.6228956228956242</v>
      </c>
      <c r="C153" s="19" t="s">
        <v>38</v>
      </c>
      <c r="D153" s="20">
        <v>0.3012294073275698</v>
      </c>
      <c r="E153" s="19" t="s">
        <v>39</v>
      </c>
      <c r="F153" s="20">
        <v>2.0678446650404907</v>
      </c>
      <c r="G153" s="19"/>
    </row>
    <row r="154" ht="15.75" customHeight="1">
      <c r="A154" s="19" t="s">
        <v>40</v>
      </c>
      <c r="B154" s="20">
        <v>2.9166754564831483</v>
      </c>
      <c r="C154" s="19" t="s">
        <v>41</v>
      </c>
      <c r="D154" s="20">
        <v>50.0</v>
      </c>
      <c r="E154" s="19" t="s">
        <v>42</v>
      </c>
      <c r="F154" s="20">
        <v>1.0</v>
      </c>
      <c r="G154" s="19"/>
    </row>
    <row r="155" ht="15.75" customHeight="1">
      <c r="A155" s="21" t="s">
        <v>173</v>
      </c>
    </row>
    <row r="156" ht="30.0" customHeight="1">
      <c r="A156" s="22" t="s">
        <v>176</v>
      </c>
      <c r="B156" s="23"/>
      <c r="C156" s="23"/>
      <c r="D156" s="23"/>
      <c r="E156" s="23"/>
      <c r="F156" s="23"/>
      <c r="G156" s="24"/>
    </row>
    <row r="157" ht="15.75" customHeight="1"/>
    <row r="158" ht="22.5" customHeight="1">
      <c r="A158" s="3" t="s">
        <v>180</v>
      </c>
    </row>
    <row r="159" ht="15.75" customHeight="1">
      <c r="A159" s="5" t="s">
        <v>181</v>
      </c>
      <c r="B159" s="6"/>
      <c r="C159" s="6"/>
      <c r="D159" s="6"/>
      <c r="E159" s="6"/>
      <c r="F159" s="6"/>
      <c r="G159" s="7"/>
    </row>
    <row r="160" ht="30.0" customHeight="1">
      <c r="A160" s="8" t="s">
        <v>9</v>
      </c>
      <c r="B160" s="8" t="s">
        <v>10</v>
      </c>
      <c r="C160" s="8" t="s">
        <v>11</v>
      </c>
      <c r="D160" s="8" t="s">
        <v>12</v>
      </c>
      <c r="E160" s="8" t="s">
        <v>13</v>
      </c>
      <c r="F160" s="8" t="s">
        <v>14</v>
      </c>
      <c r="G160" s="8" t="s">
        <v>15</v>
      </c>
    </row>
    <row r="161" ht="15.75" customHeight="1">
      <c r="A161" s="10" t="s">
        <v>18</v>
      </c>
      <c r="B161" s="10" t="s">
        <v>20</v>
      </c>
      <c r="C161" s="11">
        <v>50.0</v>
      </c>
      <c r="D161" s="11">
        <v>31.59</v>
      </c>
      <c r="E161" s="11">
        <f t="shared" ref="E161:E167" si="31">IF(D161&gt;0,(C161/D161)/SUMPRODUCT($C$161:$C$167/$D$161:$D$167)*100,"")</f>
        <v>73.84451582</v>
      </c>
      <c r="F161" s="11">
        <f t="shared" ref="F161:F167" si="32">IF(E161&lt;&gt;"",E161*3,"")</f>
        <v>221.5335474</v>
      </c>
      <c r="G161" s="10" t="s">
        <v>21</v>
      </c>
    </row>
    <row r="162" ht="15.75" customHeight="1">
      <c r="A162" s="12" t="s">
        <v>16</v>
      </c>
      <c r="B162" s="12" t="s">
        <v>19</v>
      </c>
      <c r="C162" s="13">
        <v>13.262088471180913</v>
      </c>
      <c r="D162" s="13">
        <v>87.78</v>
      </c>
      <c r="E162" s="13">
        <f t="shared" si="31"/>
        <v>7.048784173</v>
      </c>
      <c r="F162" s="13">
        <f t="shared" si="32"/>
        <v>21.14635252</v>
      </c>
      <c r="G162" s="12" t="s">
        <v>21</v>
      </c>
    </row>
    <row r="163" ht="15.75" customHeight="1">
      <c r="A163" s="12" t="s">
        <v>16</v>
      </c>
      <c r="B163" s="12" t="s">
        <v>52</v>
      </c>
      <c r="C163" s="13">
        <v>13.853434350245763</v>
      </c>
      <c r="D163" s="13">
        <v>90.57</v>
      </c>
      <c r="E163" s="13">
        <f t="shared" si="31"/>
        <v>7.136264724</v>
      </c>
      <c r="F163" s="13">
        <f t="shared" si="32"/>
        <v>21.40879417</v>
      </c>
      <c r="G163" s="12" t="s">
        <v>21</v>
      </c>
    </row>
    <row r="164" ht="15.75" customHeight="1">
      <c r="A164" s="12" t="s">
        <v>16</v>
      </c>
      <c r="B164" s="12" t="s">
        <v>17</v>
      </c>
      <c r="C164" s="13">
        <v>14.079599770100087</v>
      </c>
      <c r="D164" s="13">
        <v>88.05</v>
      </c>
      <c r="E164" s="13">
        <f t="shared" si="31"/>
        <v>7.460343393</v>
      </c>
      <c r="F164" s="13">
        <f t="shared" si="32"/>
        <v>22.38103018</v>
      </c>
      <c r="G164" s="12" t="s">
        <v>21</v>
      </c>
    </row>
    <row r="165" ht="15.75" customHeight="1">
      <c r="A165" s="12" t="s">
        <v>22</v>
      </c>
      <c r="B165" s="12" t="s">
        <v>23</v>
      </c>
      <c r="C165" s="13">
        <v>6.532520159683791</v>
      </c>
      <c r="D165" s="13">
        <v>88.48</v>
      </c>
      <c r="E165" s="13">
        <f t="shared" si="31"/>
        <v>3.444558092</v>
      </c>
      <c r="F165" s="13">
        <f t="shared" si="32"/>
        <v>10.33367428</v>
      </c>
      <c r="G165" s="12" t="s">
        <v>21</v>
      </c>
    </row>
    <row r="166" ht="15.75" customHeight="1">
      <c r="A166" s="12" t="s">
        <v>24</v>
      </c>
      <c r="B166" s="12" t="s">
        <v>26</v>
      </c>
      <c r="C166" s="13">
        <v>1.272357248789449</v>
      </c>
      <c r="D166" s="13">
        <v>99.89</v>
      </c>
      <c r="E166" s="13">
        <f t="shared" si="31"/>
        <v>0.594271529</v>
      </c>
      <c r="F166" s="13">
        <f t="shared" si="32"/>
        <v>1.782814587</v>
      </c>
      <c r="G166" s="12" t="s">
        <v>21</v>
      </c>
    </row>
    <row r="167" ht="15.75" customHeight="1">
      <c r="A167" s="14" t="s">
        <v>24</v>
      </c>
      <c r="B167" s="14" t="s">
        <v>70</v>
      </c>
      <c r="C167" s="15">
        <v>1.0</v>
      </c>
      <c r="D167" s="15">
        <v>99.0</v>
      </c>
      <c r="E167" s="15">
        <f t="shared" si="31"/>
        <v>0.4712622737</v>
      </c>
      <c r="F167" s="15">
        <f t="shared" si="32"/>
        <v>1.413786821</v>
      </c>
      <c r="G167" s="14" t="s">
        <v>21</v>
      </c>
    </row>
    <row r="168" ht="15.75" customHeight="1">
      <c r="A168" s="16" t="s">
        <v>27</v>
      </c>
      <c r="B168" s="17"/>
      <c r="C168" s="18">
        <f>SUM(C161:C167)</f>
        <v>100</v>
      </c>
      <c r="D168" s="18"/>
      <c r="E168" s="18">
        <f t="shared" ref="E168:F168" si="33">SUM(E161:E167)</f>
        <v>100</v>
      </c>
      <c r="F168" s="18">
        <f t="shared" si="33"/>
        <v>300</v>
      </c>
      <c r="G168" s="16"/>
    </row>
    <row r="169" ht="15.75" customHeight="1">
      <c r="A169" s="19" t="s">
        <v>33</v>
      </c>
      <c r="B169" s="20">
        <v>12.406107382550337</v>
      </c>
      <c r="C169" s="19" t="s">
        <v>35</v>
      </c>
      <c r="D169" s="20">
        <v>68.717196677761</v>
      </c>
      <c r="E169" s="19" t="s">
        <v>36</v>
      </c>
      <c r="F169" s="20">
        <v>40.572870910065376</v>
      </c>
      <c r="G169" s="19"/>
    </row>
    <row r="170" ht="15.75" customHeight="1">
      <c r="A170" s="19" t="s">
        <v>37</v>
      </c>
      <c r="B170" s="20">
        <v>0.6955220797096795</v>
      </c>
      <c r="C170" s="19" t="s">
        <v>38</v>
      </c>
      <c r="D170" s="20">
        <v>0.34776103985483975</v>
      </c>
      <c r="E170" s="19" t="s">
        <v>39</v>
      </c>
      <c r="F170" s="20">
        <v>2.0</v>
      </c>
      <c r="G170" s="19"/>
    </row>
    <row r="171" ht="15.75" customHeight="1">
      <c r="A171" s="19" t="s">
        <v>40</v>
      </c>
      <c r="B171" s="20">
        <v>3.4484052548270188</v>
      </c>
      <c r="C171" s="19" t="s">
        <v>41</v>
      </c>
      <c r="D171" s="20">
        <v>50.0</v>
      </c>
      <c r="E171" s="19" t="s">
        <v>42</v>
      </c>
      <c r="F171" s="20">
        <v>0.0</v>
      </c>
      <c r="G171" s="19"/>
    </row>
    <row r="172" ht="15.75" customHeight="1">
      <c r="A172" s="21" t="s">
        <v>189</v>
      </c>
    </row>
    <row r="173" ht="30.0" customHeight="1">
      <c r="A173" s="26" t="s">
        <v>51</v>
      </c>
      <c r="B173" s="23"/>
      <c r="C173" s="23"/>
      <c r="D173" s="23"/>
      <c r="E173" s="23"/>
      <c r="F173" s="23"/>
      <c r="G173" s="24"/>
    </row>
    <row r="174" ht="15.75" customHeight="1"/>
    <row r="175" ht="22.5" customHeight="1">
      <c r="A175" s="3" t="s">
        <v>190</v>
      </c>
    </row>
    <row r="176" ht="15.75" customHeight="1">
      <c r="A176" s="5" t="s">
        <v>8</v>
      </c>
      <c r="B176" s="6"/>
      <c r="C176" s="6"/>
      <c r="D176" s="6"/>
      <c r="E176" s="6"/>
      <c r="F176" s="6"/>
      <c r="G176" s="7"/>
    </row>
    <row r="177" ht="30.0" customHeight="1">
      <c r="A177" s="8" t="s">
        <v>9</v>
      </c>
      <c r="B177" s="8" t="s">
        <v>10</v>
      </c>
      <c r="C177" s="8" t="s">
        <v>11</v>
      </c>
      <c r="D177" s="8" t="s">
        <v>12</v>
      </c>
      <c r="E177" s="8" t="s">
        <v>13</v>
      </c>
      <c r="F177" s="8" t="s">
        <v>14</v>
      </c>
      <c r="G177" s="8" t="s">
        <v>15</v>
      </c>
    </row>
    <row r="178" ht="15.75" customHeight="1">
      <c r="A178" s="10" t="s">
        <v>18</v>
      </c>
      <c r="B178" s="10" t="s">
        <v>20</v>
      </c>
      <c r="C178" s="11">
        <v>50.0</v>
      </c>
      <c r="D178" s="11">
        <v>31.59</v>
      </c>
      <c r="E178" s="11">
        <f t="shared" ref="E178:E182" si="34">IF(D178&gt;0,(C178/D178)/SUMPRODUCT($C$178:$C$182/$D$178:$D$182)*100,"")</f>
        <v>73.68970117</v>
      </c>
      <c r="F178" s="11">
        <f t="shared" ref="F178:F182" si="35">IF(E178&lt;&gt;"",E178*3,"")</f>
        <v>221.0691035</v>
      </c>
      <c r="G178" s="10" t="s">
        <v>21</v>
      </c>
    </row>
    <row r="179" ht="15.75" customHeight="1">
      <c r="A179" s="12" t="s">
        <v>16</v>
      </c>
      <c r="B179" s="12" t="s">
        <v>19</v>
      </c>
      <c r="C179" s="13">
        <v>28.051242834777472</v>
      </c>
      <c r="D179" s="13">
        <v>87.78</v>
      </c>
      <c r="E179" s="13">
        <f t="shared" si="34"/>
        <v>14.87794498</v>
      </c>
      <c r="F179" s="13">
        <f t="shared" si="35"/>
        <v>44.63383493</v>
      </c>
      <c r="G179" s="12" t="s">
        <v>21</v>
      </c>
    </row>
    <row r="180" ht="15.75" customHeight="1">
      <c r="A180" s="12" t="s">
        <v>22</v>
      </c>
      <c r="B180" s="12" t="s">
        <v>23</v>
      </c>
      <c r="C180" s="13">
        <v>19.871217368547754</v>
      </c>
      <c r="D180" s="13">
        <v>88.48</v>
      </c>
      <c r="E180" s="13">
        <f t="shared" si="34"/>
        <v>10.45600487</v>
      </c>
      <c r="F180" s="13">
        <f t="shared" si="35"/>
        <v>31.36801462</v>
      </c>
      <c r="G180" s="12" t="s">
        <v>21</v>
      </c>
    </row>
    <row r="181" ht="15.75" customHeight="1">
      <c r="A181" s="12" t="s">
        <v>22</v>
      </c>
      <c r="B181" s="12" t="s">
        <v>25</v>
      </c>
      <c r="C181" s="13">
        <v>1.0</v>
      </c>
      <c r="D181" s="13">
        <v>99.0</v>
      </c>
      <c r="E181" s="13">
        <f t="shared" si="34"/>
        <v>0.4702742747</v>
      </c>
      <c r="F181" s="13">
        <f t="shared" si="35"/>
        <v>1.410822824</v>
      </c>
      <c r="G181" s="12" t="s">
        <v>21</v>
      </c>
    </row>
    <row r="182" ht="15.75" customHeight="1">
      <c r="A182" s="14" t="s">
        <v>24</v>
      </c>
      <c r="B182" s="14" t="s">
        <v>195</v>
      </c>
      <c r="C182" s="15">
        <v>1.0775397966747722</v>
      </c>
      <c r="D182" s="15">
        <v>99.13</v>
      </c>
      <c r="E182" s="15">
        <f t="shared" si="34"/>
        <v>0.5060747038</v>
      </c>
      <c r="F182" s="15">
        <f t="shared" si="35"/>
        <v>1.518224112</v>
      </c>
      <c r="G182" s="14" t="s">
        <v>21</v>
      </c>
    </row>
    <row r="183" ht="15.75" customHeight="1">
      <c r="A183" s="16" t="s">
        <v>27</v>
      </c>
      <c r="B183" s="17"/>
      <c r="C183" s="18">
        <f>SUM(C178:C182)</f>
        <v>100</v>
      </c>
      <c r="D183" s="18"/>
      <c r="E183" s="18">
        <f t="shared" ref="E183:F183" si="36">SUM(E178:E182)</f>
        <v>100</v>
      </c>
      <c r="F183" s="18">
        <f t="shared" si="36"/>
        <v>300</v>
      </c>
      <c r="G183" s="16"/>
    </row>
    <row r="184" ht="15.75" customHeight="1">
      <c r="A184" s="19" t="s">
        <v>33</v>
      </c>
      <c r="B184" s="20">
        <v>18.676868686868637</v>
      </c>
      <c r="C184" s="19" t="s">
        <v>35</v>
      </c>
      <c r="D184" s="20">
        <v>71.73951799238768</v>
      </c>
      <c r="E184" s="19" t="s">
        <v>36</v>
      </c>
      <c r="F184" s="20">
        <v>34.725779953470266</v>
      </c>
      <c r="G184" s="19"/>
    </row>
    <row r="185" ht="15.75" customHeight="1">
      <c r="A185" s="19" t="s">
        <v>37</v>
      </c>
      <c r="B185" s="20">
        <v>0.6228956228956415</v>
      </c>
      <c r="C185" s="19" t="s">
        <v>38</v>
      </c>
      <c r="D185" s="20">
        <v>0.27871730802666833</v>
      </c>
      <c r="E185" s="19" t="s">
        <v>39</v>
      </c>
      <c r="F185" s="20">
        <v>2.2348652378489584</v>
      </c>
      <c r="G185" s="19"/>
    </row>
    <row r="186" ht="15.75" customHeight="1">
      <c r="A186" s="19" t="s">
        <v>40</v>
      </c>
      <c r="B186" s="20">
        <v>3.0852882544432836</v>
      </c>
      <c r="C186" s="19" t="s">
        <v>41</v>
      </c>
      <c r="D186" s="20">
        <v>50.0</v>
      </c>
      <c r="E186" s="19" t="s">
        <v>42</v>
      </c>
      <c r="F186" s="20">
        <v>1.0</v>
      </c>
      <c r="G186" s="19"/>
    </row>
    <row r="187" ht="15.75" customHeight="1">
      <c r="A187" s="21" t="s">
        <v>199</v>
      </c>
    </row>
    <row r="188" ht="30.0" customHeight="1">
      <c r="A188" s="22" t="s">
        <v>62</v>
      </c>
      <c r="B188" s="23"/>
      <c r="C188" s="23"/>
      <c r="D188" s="23"/>
      <c r="E188" s="23"/>
      <c r="F188" s="23"/>
      <c r="G188" s="24"/>
    </row>
    <row r="189" ht="15.75" customHeight="1"/>
    <row r="190" ht="22.5" customHeight="1">
      <c r="A190" s="3" t="s">
        <v>201</v>
      </c>
    </row>
    <row r="191" ht="15.75" customHeight="1">
      <c r="A191" s="5" t="s">
        <v>151</v>
      </c>
      <c r="B191" s="6"/>
      <c r="C191" s="6"/>
      <c r="D191" s="6"/>
      <c r="E191" s="6"/>
      <c r="F191" s="6"/>
      <c r="G191" s="7"/>
    </row>
    <row r="192" ht="30.0" customHeight="1">
      <c r="A192" s="8" t="s">
        <v>9</v>
      </c>
      <c r="B192" s="8" t="s">
        <v>10</v>
      </c>
      <c r="C192" s="8" t="s">
        <v>11</v>
      </c>
      <c r="D192" s="8" t="s">
        <v>12</v>
      </c>
      <c r="E192" s="8" t="s">
        <v>13</v>
      </c>
      <c r="F192" s="8" t="s">
        <v>14</v>
      </c>
      <c r="G192" s="8" t="s">
        <v>15</v>
      </c>
    </row>
    <row r="193" ht="15.75" customHeight="1">
      <c r="A193" s="10" t="s">
        <v>18</v>
      </c>
      <c r="B193" s="10" t="s">
        <v>20</v>
      </c>
      <c r="C193" s="11">
        <v>50.0</v>
      </c>
      <c r="D193" s="11">
        <v>31.59</v>
      </c>
      <c r="E193" s="11">
        <f t="shared" ref="E193:E197" si="37">IF(D193&gt;0,(C193/D193)/SUMPRODUCT($C$193:$C$197/$D$193:$D$197)*100,"")</f>
        <v>73.74326802</v>
      </c>
      <c r="F193" s="11">
        <f t="shared" ref="F193:F197" si="38">IF(E193&lt;&gt;"",E193*3,"")</f>
        <v>221.2298041</v>
      </c>
      <c r="G193" s="10" t="s">
        <v>21</v>
      </c>
    </row>
    <row r="194" ht="15.75" customHeight="1">
      <c r="A194" s="12" t="s">
        <v>16</v>
      </c>
      <c r="B194" s="12" t="s">
        <v>19</v>
      </c>
      <c r="C194" s="13">
        <v>20.087745343479995</v>
      </c>
      <c r="D194" s="13">
        <v>87.78</v>
      </c>
      <c r="E194" s="13">
        <f t="shared" si="37"/>
        <v>10.661974</v>
      </c>
      <c r="F194" s="13">
        <f t="shared" si="38"/>
        <v>31.985922</v>
      </c>
      <c r="G194" s="12" t="s">
        <v>21</v>
      </c>
    </row>
    <row r="195" ht="15.75" customHeight="1">
      <c r="A195" s="12" t="s">
        <v>22</v>
      </c>
      <c r="B195" s="12" t="s">
        <v>23</v>
      </c>
      <c r="C195" s="13">
        <v>27.140861075906503</v>
      </c>
      <c r="D195" s="13">
        <v>88.48</v>
      </c>
      <c r="E195" s="13">
        <f t="shared" si="37"/>
        <v>14.29158872</v>
      </c>
      <c r="F195" s="13">
        <f t="shared" si="38"/>
        <v>42.87476615</v>
      </c>
      <c r="G195" s="12" t="s">
        <v>21</v>
      </c>
    </row>
    <row r="196" ht="15.75" customHeight="1">
      <c r="A196" s="12" t="s">
        <v>24</v>
      </c>
      <c r="B196" s="12" t="s">
        <v>195</v>
      </c>
      <c r="C196" s="13">
        <v>1.7713935806135006</v>
      </c>
      <c r="D196" s="13">
        <v>99.13</v>
      </c>
      <c r="E196" s="13">
        <f t="shared" si="37"/>
        <v>0.8325531376</v>
      </c>
      <c r="F196" s="13">
        <f t="shared" si="38"/>
        <v>2.497659413</v>
      </c>
      <c r="G196" s="12" t="s">
        <v>21</v>
      </c>
    </row>
    <row r="197" ht="15.75" customHeight="1">
      <c r="A197" s="14" t="s">
        <v>24</v>
      </c>
      <c r="B197" s="14" t="s">
        <v>70</v>
      </c>
      <c r="C197" s="15">
        <v>1.0</v>
      </c>
      <c r="D197" s="15">
        <v>99.0</v>
      </c>
      <c r="E197" s="15">
        <f t="shared" si="37"/>
        <v>0.4706161286</v>
      </c>
      <c r="F197" s="15">
        <f t="shared" si="38"/>
        <v>1.411848386</v>
      </c>
      <c r="G197" s="14" t="s">
        <v>31</v>
      </c>
    </row>
    <row r="198" ht="15.75" customHeight="1">
      <c r="A198" s="16" t="s">
        <v>27</v>
      </c>
      <c r="B198" s="17"/>
      <c r="C198" s="18">
        <f>SUM(C193:C197)</f>
        <v>100</v>
      </c>
      <c r="D198" s="18"/>
      <c r="E198" s="18">
        <f t="shared" ref="E198:F198" si="39">SUM(E193:E197)</f>
        <v>100</v>
      </c>
      <c r="F198" s="18">
        <f t="shared" si="39"/>
        <v>300</v>
      </c>
      <c r="G198" s="16"/>
    </row>
    <row r="199" ht="15.75" customHeight="1">
      <c r="A199" s="19" t="s">
        <v>33</v>
      </c>
      <c r="B199" s="20">
        <v>18.69686868686869</v>
      </c>
      <c r="C199" s="19" t="s">
        <v>35</v>
      </c>
      <c r="D199" s="20">
        <v>70.75730446557516</v>
      </c>
      <c r="E199" s="19" t="s">
        <v>36</v>
      </c>
      <c r="F199" s="20">
        <v>34.697176902293606</v>
      </c>
      <c r="G199" s="19"/>
    </row>
    <row r="200" ht="15.75" customHeight="1">
      <c r="A200" s="19" t="s">
        <v>37</v>
      </c>
      <c r="B200" s="20">
        <v>0.9013610686966534</v>
      </c>
      <c r="C200" s="19" t="s">
        <v>38</v>
      </c>
      <c r="D200" s="20">
        <v>0.30045368956555113</v>
      </c>
      <c r="E200" s="19" t="s">
        <v>39</v>
      </c>
      <c r="F200" s="20">
        <v>3.0</v>
      </c>
      <c r="G200" s="19"/>
    </row>
    <row r="201" ht="15.75" customHeight="1">
      <c r="A201" s="19" t="s">
        <v>40</v>
      </c>
      <c r="B201" s="20">
        <v>2.879632824185827</v>
      </c>
      <c r="C201" s="19" t="s">
        <v>41</v>
      </c>
      <c r="D201" s="20">
        <v>50.0</v>
      </c>
      <c r="E201" s="19" t="s">
        <v>42</v>
      </c>
      <c r="F201" s="20">
        <v>1.0</v>
      </c>
      <c r="G201" s="19"/>
    </row>
    <row r="202" ht="15.75" customHeight="1">
      <c r="A202" s="25" t="s">
        <v>206</v>
      </c>
    </row>
    <row r="203" ht="30.0" customHeight="1">
      <c r="A203" s="22" t="s">
        <v>207</v>
      </c>
      <c r="B203" s="23"/>
      <c r="C203" s="23"/>
      <c r="D203" s="23"/>
      <c r="E203" s="23"/>
      <c r="F203" s="23"/>
      <c r="G203" s="24"/>
    </row>
    <row r="204" ht="15.75" customHeight="1"/>
    <row r="205" ht="22.5" customHeight="1">
      <c r="A205" s="3" t="s">
        <v>208</v>
      </c>
    </row>
    <row r="206" ht="15.75" customHeight="1">
      <c r="A206" s="5" t="s">
        <v>8</v>
      </c>
      <c r="B206" s="6"/>
      <c r="C206" s="6"/>
      <c r="D206" s="6"/>
      <c r="E206" s="6"/>
      <c r="F206" s="6"/>
      <c r="G206" s="7"/>
    </row>
    <row r="207" ht="30.0" customHeight="1">
      <c r="A207" s="8" t="s">
        <v>9</v>
      </c>
      <c r="B207" s="8" t="s">
        <v>10</v>
      </c>
      <c r="C207" s="8" t="s">
        <v>11</v>
      </c>
      <c r="D207" s="8" t="s">
        <v>12</v>
      </c>
      <c r="E207" s="8" t="s">
        <v>13</v>
      </c>
      <c r="F207" s="8" t="s">
        <v>14</v>
      </c>
      <c r="G207" s="8" t="s">
        <v>15</v>
      </c>
    </row>
    <row r="208" ht="15.75" customHeight="1">
      <c r="A208" s="10" t="s">
        <v>209</v>
      </c>
      <c r="B208" s="10" t="s">
        <v>210</v>
      </c>
      <c r="C208" s="11">
        <v>50.0</v>
      </c>
      <c r="D208" s="11">
        <v>89.99</v>
      </c>
      <c r="E208" s="11">
        <f t="shared" ref="E208:E213" si="40">IF(D208&gt;0,(C208/D208)/SUMPRODUCT($C$208:$C$213/$D$208:$D$213)*100,"")</f>
        <v>49.60797991</v>
      </c>
      <c r="F208" s="11">
        <f t="shared" ref="F208:F213" si="41">IF(E208&lt;&gt;"",E208*3,"")</f>
        <v>148.8239397</v>
      </c>
      <c r="G208" s="10" t="s">
        <v>21</v>
      </c>
    </row>
    <row r="209" ht="15.75" customHeight="1">
      <c r="A209" s="12" t="s">
        <v>16</v>
      </c>
      <c r="B209" s="12" t="s">
        <v>19</v>
      </c>
      <c r="C209" s="13">
        <v>19.376347922185047</v>
      </c>
      <c r="D209" s="13">
        <v>87.78</v>
      </c>
      <c r="E209" s="13">
        <f t="shared" si="40"/>
        <v>19.70843491</v>
      </c>
      <c r="F209" s="13">
        <f t="shared" si="41"/>
        <v>59.12530474</v>
      </c>
      <c r="G209" s="12" t="s">
        <v>21</v>
      </c>
    </row>
    <row r="210" ht="15.75" customHeight="1">
      <c r="A210" s="12" t="s">
        <v>22</v>
      </c>
      <c r="B210" s="12" t="s">
        <v>23</v>
      </c>
      <c r="C210" s="13">
        <v>28.59643360531142</v>
      </c>
      <c r="D210" s="13">
        <v>88.48</v>
      </c>
      <c r="E210" s="13">
        <f t="shared" si="40"/>
        <v>28.85642659</v>
      </c>
      <c r="F210" s="13">
        <f t="shared" si="41"/>
        <v>86.56927976</v>
      </c>
      <c r="G210" s="12" t="s">
        <v>21</v>
      </c>
    </row>
    <row r="211" ht="15.75" customHeight="1">
      <c r="A211" s="12" t="s">
        <v>164</v>
      </c>
      <c r="B211" s="12" t="s">
        <v>165</v>
      </c>
      <c r="C211" s="13">
        <v>0.1</v>
      </c>
      <c r="D211" s="13">
        <v>99.02</v>
      </c>
      <c r="E211" s="13">
        <f t="shared" si="40"/>
        <v>0.09016808951</v>
      </c>
      <c r="F211" s="13">
        <f t="shared" si="41"/>
        <v>0.2705042685</v>
      </c>
      <c r="G211" s="12" t="s">
        <v>21</v>
      </c>
    </row>
    <row r="212" ht="15.75" customHeight="1">
      <c r="A212" s="12" t="s">
        <v>24</v>
      </c>
      <c r="B212" s="12" t="s">
        <v>195</v>
      </c>
      <c r="C212" s="13">
        <v>0.9272184725035326</v>
      </c>
      <c r="D212" s="13">
        <v>99.13</v>
      </c>
      <c r="E212" s="13">
        <f t="shared" si="40"/>
        <v>0.8351274503</v>
      </c>
      <c r="F212" s="13">
        <f t="shared" si="41"/>
        <v>2.505382351</v>
      </c>
      <c r="G212" s="12" t="s">
        <v>21</v>
      </c>
    </row>
    <row r="213" ht="15.75" customHeight="1">
      <c r="A213" s="14" t="s">
        <v>24</v>
      </c>
      <c r="B213" s="14" t="s">
        <v>70</v>
      </c>
      <c r="C213" s="15">
        <v>1.0</v>
      </c>
      <c r="D213" s="15">
        <v>99.0</v>
      </c>
      <c r="E213" s="15">
        <f t="shared" si="40"/>
        <v>0.9018630529</v>
      </c>
      <c r="F213" s="15">
        <f t="shared" si="41"/>
        <v>2.705589159</v>
      </c>
      <c r="G213" s="14" t="s">
        <v>21</v>
      </c>
    </row>
    <row r="214" ht="15.75" customHeight="1">
      <c r="A214" s="16" t="s">
        <v>27</v>
      </c>
      <c r="B214" s="17"/>
      <c r="C214" s="18">
        <f>SUM(C208:C213)</f>
        <v>100</v>
      </c>
      <c r="D214" s="18"/>
      <c r="E214" s="18">
        <f t="shared" ref="E214:F214" si="42">SUM(E208:E213)</f>
        <v>100</v>
      </c>
      <c r="F214" s="18">
        <f t="shared" si="42"/>
        <v>300</v>
      </c>
      <c r="G214" s="16"/>
    </row>
    <row r="215" ht="15.75" customHeight="1">
      <c r="A215" s="19" t="s">
        <v>33</v>
      </c>
      <c r="B215" s="20">
        <v>18.67686868686869</v>
      </c>
      <c r="C215" s="19" t="s">
        <v>35</v>
      </c>
      <c r="D215" s="20">
        <v>67.54537296702371</v>
      </c>
      <c r="E215" s="19" t="s">
        <v>36</v>
      </c>
      <c r="F215" s="20">
        <v>39.36352831113879</v>
      </c>
      <c r="G215" s="19"/>
    </row>
    <row r="216" ht="15.75" customHeight="1">
      <c r="A216" s="19" t="s">
        <v>37</v>
      </c>
      <c r="B216" s="20">
        <v>0.663437413794991</v>
      </c>
      <c r="C216" s="19" t="s">
        <v>38</v>
      </c>
      <c r="D216" s="20">
        <v>0.3317187068974887</v>
      </c>
      <c r="E216" s="19" t="s">
        <v>39</v>
      </c>
      <c r="F216" s="20">
        <v>2.000000000000041</v>
      </c>
      <c r="G216" s="19"/>
    </row>
    <row r="217" ht="15.75" customHeight="1">
      <c r="A217" s="19" t="s">
        <v>40</v>
      </c>
      <c r="B217" s="20">
        <v>2.245368931240285</v>
      </c>
      <c r="C217" s="19" t="s">
        <v>41</v>
      </c>
      <c r="D217" s="20">
        <v>50.0</v>
      </c>
      <c r="E217" s="19" t="s">
        <v>42</v>
      </c>
      <c r="F217" s="20">
        <v>1.0</v>
      </c>
      <c r="G217" s="19"/>
    </row>
    <row r="218" ht="15.75" customHeight="1">
      <c r="A218" s="21" t="s">
        <v>216</v>
      </c>
    </row>
    <row r="219" ht="30.0" customHeight="1">
      <c r="A219" s="22" t="s">
        <v>217</v>
      </c>
      <c r="B219" s="23"/>
      <c r="C219" s="23"/>
      <c r="D219" s="23"/>
      <c r="E219" s="23"/>
      <c r="F219" s="23"/>
      <c r="G219" s="24"/>
    </row>
    <row r="220" ht="15.75" customHeight="1"/>
    <row r="221" ht="22.5" customHeight="1">
      <c r="A221" s="3" t="s">
        <v>218</v>
      </c>
    </row>
    <row r="222" ht="15.75" customHeight="1">
      <c r="A222" s="5" t="s">
        <v>8</v>
      </c>
      <c r="B222" s="6"/>
      <c r="C222" s="6"/>
      <c r="D222" s="6"/>
      <c r="E222" s="6"/>
      <c r="F222" s="6"/>
      <c r="G222" s="7"/>
    </row>
    <row r="223" ht="30.0" customHeight="1">
      <c r="A223" s="8" t="s">
        <v>9</v>
      </c>
      <c r="B223" s="8" t="s">
        <v>10</v>
      </c>
      <c r="C223" s="8" t="s">
        <v>11</v>
      </c>
      <c r="D223" s="8" t="s">
        <v>12</v>
      </c>
      <c r="E223" s="8" t="s">
        <v>13</v>
      </c>
      <c r="F223" s="8" t="s">
        <v>14</v>
      </c>
      <c r="G223" s="8" t="s">
        <v>15</v>
      </c>
    </row>
    <row r="224" ht="15.75" customHeight="1">
      <c r="A224" s="10" t="s">
        <v>18</v>
      </c>
      <c r="B224" s="10" t="s">
        <v>20</v>
      </c>
      <c r="C224" s="11">
        <v>50.0</v>
      </c>
      <c r="D224" s="11">
        <v>31.59</v>
      </c>
      <c r="E224" s="11">
        <f t="shared" ref="E224:E228" si="43">IF(D224&gt;0,(C224/D224)/SUMPRODUCT($C$224:$C$228/$D$224:$D$228)*100,"")</f>
        <v>73.69208121</v>
      </c>
      <c r="F224" s="11">
        <f t="shared" ref="F224:F228" si="44">IF(E224&lt;&gt;"",E224*3,"")</f>
        <v>221.0762436</v>
      </c>
      <c r="G224" s="10" t="s">
        <v>21</v>
      </c>
    </row>
    <row r="225" ht="15.75" customHeight="1">
      <c r="A225" s="12" t="s">
        <v>16</v>
      </c>
      <c r="B225" s="12" t="s">
        <v>19</v>
      </c>
      <c r="C225" s="13">
        <v>28.062935575281468</v>
      </c>
      <c r="D225" s="13">
        <v>87.78</v>
      </c>
      <c r="E225" s="13">
        <f t="shared" si="43"/>
        <v>14.88462736</v>
      </c>
      <c r="F225" s="13">
        <f t="shared" si="44"/>
        <v>44.65388207</v>
      </c>
      <c r="G225" s="12" t="s">
        <v>21</v>
      </c>
    </row>
    <row r="226" ht="15.75" customHeight="1">
      <c r="A226" s="12" t="s">
        <v>22</v>
      </c>
      <c r="B226" s="12" t="s">
        <v>23</v>
      </c>
      <c r="C226" s="13">
        <v>19.869035171283976</v>
      </c>
      <c r="D226" s="13">
        <v>88.48</v>
      </c>
      <c r="E226" s="13">
        <f t="shared" si="43"/>
        <v>10.4551943</v>
      </c>
      <c r="F226" s="13">
        <f t="shared" si="44"/>
        <v>31.3655829</v>
      </c>
      <c r="G226" s="12" t="s">
        <v>21</v>
      </c>
    </row>
    <row r="227" ht="15.75" customHeight="1">
      <c r="A227" s="12" t="s">
        <v>22</v>
      </c>
      <c r="B227" s="12" t="s">
        <v>25</v>
      </c>
      <c r="C227" s="13">
        <v>1.0</v>
      </c>
      <c r="D227" s="13">
        <v>99.0</v>
      </c>
      <c r="E227" s="13">
        <f t="shared" si="43"/>
        <v>0.4702894638</v>
      </c>
      <c r="F227" s="13">
        <f t="shared" si="44"/>
        <v>1.410868391</v>
      </c>
      <c r="G227" s="12" t="s">
        <v>21</v>
      </c>
    </row>
    <row r="228" ht="15.75" customHeight="1">
      <c r="A228" s="14" t="s">
        <v>24</v>
      </c>
      <c r="B228" s="14" t="s">
        <v>26</v>
      </c>
      <c r="C228" s="15">
        <v>1.0680292534345524</v>
      </c>
      <c r="D228" s="15">
        <v>99.89</v>
      </c>
      <c r="E228" s="15">
        <f t="shared" si="43"/>
        <v>0.4978076643</v>
      </c>
      <c r="F228" s="15">
        <f t="shared" si="44"/>
        <v>1.493422993</v>
      </c>
      <c r="G228" s="14" t="s">
        <v>21</v>
      </c>
    </row>
    <row r="229" ht="15.75" customHeight="1">
      <c r="A229" s="16" t="s">
        <v>27</v>
      </c>
      <c r="B229" s="17"/>
      <c r="C229" s="18">
        <f>SUM(C224:C228)</f>
        <v>100</v>
      </c>
      <c r="D229" s="18"/>
      <c r="E229" s="18">
        <f t="shared" ref="E229:F229" si="45">SUM(E224:E228)</f>
        <v>100</v>
      </c>
      <c r="F229" s="18">
        <f t="shared" si="45"/>
        <v>300</v>
      </c>
      <c r="G229" s="16"/>
    </row>
    <row r="230" ht="15.75" customHeight="1">
      <c r="A230" s="19" t="s">
        <v>33</v>
      </c>
      <c r="B230" s="20">
        <v>18.676868686868676</v>
      </c>
      <c r="C230" s="19" t="s">
        <v>35</v>
      </c>
      <c r="D230" s="20">
        <v>71.74781556919221</v>
      </c>
      <c r="E230" s="19" t="s">
        <v>36</v>
      </c>
      <c r="F230" s="20">
        <v>34.72712713510935</v>
      </c>
      <c r="G230" s="19"/>
    </row>
    <row r="231" ht="15.75" customHeight="1">
      <c r="A231" s="19" t="s">
        <v>37</v>
      </c>
      <c r="B231" s="20">
        <v>0.6228956228956269</v>
      </c>
      <c r="C231" s="19" t="s">
        <v>38</v>
      </c>
      <c r="D231" s="20">
        <v>0.2785176423398658</v>
      </c>
      <c r="E231" s="19" t="s">
        <v>39</v>
      </c>
      <c r="F231" s="20">
        <v>2.236467383762814</v>
      </c>
      <c r="G231" s="19"/>
    </row>
    <row r="232" ht="15.75" customHeight="1">
      <c r="A232" s="19" t="s">
        <v>40</v>
      </c>
      <c r="B232" s="20">
        <v>3.085738822544235</v>
      </c>
      <c r="C232" s="19" t="s">
        <v>41</v>
      </c>
      <c r="D232" s="20">
        <v>50.0</v>
      </c>
      <c r="E232" s="19" t="s">
        <v>42</v>
      </c>
      <c r="F232" s="20">
        <v>1.0</v>
      </c>
      <c r="G232" s="19"/>
    </row>
    <row r="233" ht="15.75" customHeight="1">
      <c r="A233" s="21" t="s">
        <v>132</v>
      </c>
    </row>
    <row r="234" ht="30.0" customHeight="1">
      <c r="A234" s="22" t="s">
        <v>62</v>
      </c>
      <c r="B234" s="23"/>
      <c r="C234" s="23"/>
      <c r="D234" s="23"/>
      <c r="E234" s="23"/>
      <c r="F234" s="23"/>
      <c r="G234" s="24"/>
    </row>
    <row r="235" ht="15.75" customHeight="1"/>
    <row r="236" ht="22.5" customHeight="1">
      <c r="A236" s="3" t="s">
        <v>222</v>
      </c>
    </row>
    <row r="237" ht="15.75" customHeight="1">
      <c r="A237" s="5" t="s">
        <v>8</v>
      </c>
      <c r="B237" s="6"/>
      <c r="C237" s="6"/>
      <c r="D237" s="6"/>
      <c r="E237" s="6"/>
      <c r="F237" s="6"/>
      <c r="G237" s="7"/>
    </row>
    <row r="238" ht="30.0" customHeight="1">
      <c r="A238" s="8" t="s">
        <v>9</v>
      </c>
      <c r="B238" s="8" t="s">
        <v>10</v>
      </c>
      <c r="C238" s="8" t="s">
        <v>11</v>
      </c>
      <c r="D238" s="8" t="s">
        <v>12</v>
      </c>
      <c r="E238" s="8" t="s">
        <v>13</v>
      </c>
      <c r="F238" s="8" t="s">
        <v>14</v>
      </c>
      <c r="G238" s="8" t="s">
        <v>15</v>
      </c>
    </row>
    <row r="239" ht="15.75" customHeight="1">
      <c r="A239" s="10" t="s">
        <v>18</v>
      </c>
      <c r="B239" s="10" t="s">
        <v>20</v>
      </c>
      <c r="C239" s="11">
        <v>50.0</v>
      </c>
      <c r="D239" s="11">
        <v>31.59</v>
      </c>
      <c r="E239" s="11">
        <f t="shared" ref="E239:E243" si="46">IF(D239&gt;0,(C239/D239)/SUMPRODUCT($C$239:$C$243/$D$239:$D$243)*100,"")</f>
        <v>73.68972268</v>
      </c>
      <c r="F239" s="11">
        <f t="shared" ref="F239:F243" si="47">IF(E239&lt;&gt;"",E239*3,"")</f>
        <v>221.069168</v>
      </c>
      <c r="G239" s="10" t="s">
        <v>21</v>
      </c>
    </row>
    <row r="240" ht="15.75" customHeight="1">
      <c r="A240" s="12" t="s">
        <v>16</v>
      </c>
      <c r="B240" s="12" t="s">
        <v>19</v>
      </c>
      <c r="C240" s="13">
        <v>28.043426021508772</v>
      </c>
      <c r="D240" s="13">
        <v>87.78</v>
      </c>
      <c r="E240" s="13">
        <f t="shared" si="46"/>
        <v>14.8738034</v>
      </c>
      <c r="F240" s="13">
        <f t="shared" si="47"/>
        <v>44.6214102</v>
      </c>
      <c r="G240" s="12" t="s">
        <v>21</v>
      </c>
    </row>
    <row r="241" ht="15.75" customHeight="1">
      <c r="A241" s="12" t="s">
        <v>22</v>
      </c>
      <c r="B241" s="12" t="s">
        <v>23</v>
      </c>
      <c r="C241" s="13">
        <v>19.87909809688822</v>
      </c>
      <c r="D241" s="13">
        <v>88.48</v>
      </c>
      <c r="E241" s="13">
        <f t="shared" si="46"/>
        <v>10.46015468</v>
      </c>
      <c r="F241" s="13">
        <f t="shared" si="47"/>
        <v>31.38046403</v>
      </c>
      <c r="G241" s="12" t="s">
        <v>21</v>
      </c>
    </row>
    <row r="242" ht="15.75" customHeight="1">
      <c r="A242" s="12" t="s">
        <v>24</v>
      </c>
      <c r="B242" s="12" t="s">
        <v>195</v>
      </c>
      <c r="C242" s="13">
        <v>1.0774758816030061</v>
      </c>
      <c r="D242" s="13">
        <v>99.13</v>
      </c>
      <c r="E242" s="13">
        <f t="shared" si="46"/>
        <v>0.5060448333</v>
      </c>
      <c r="F242" s="13">
        <f t="shared" si="47"/>
        <v>1.5181345</v>
      </c>
      <c r="G242" s="12" t="s">
        <v>21</v>
      </c>
    </row>
    <row r="243" ht="15.75" customHeight="1">
      <c r="A243" s="14" t="s">
        <v>22</v>
      </c>
      <c r="B243" s="14" t="s">
        <v>25</v>
      </c>
      <c r="C243" s="15">
        <v>1.0</v>
      </c>
      <c r="D243" s="15">
        <v>99.0</v>
      </c>
      <c r="E243" s="15">
        <f t="shared" si="46"/>
        <v>0.470274412</v>
      </c>
      <c r="F243" s="15">
        <f t="shared" si="47"/>
        <v>1.410823236</v>
      </c>
      <c r="G243" s="14" t="s">
        <v>21</v>
      </c>
    </row>
    <row r="244" ht="15.75" customHeight="1">
      <c r="A244" s="16" t="s">
        <v>27</v>
      </c>
      <c r="B244" s="17"/>
      <c r="C244" s="18">
        <f>SUM(C239:C243)</f>
        <v>100</v>
      </c>
      <c r="D244" s="18"/>
      <c r="E244" s="18">
        <f t="shared" ref="E244:F244" si="48">SUM(E239:E243)</f>
        <v>100</v>
      </c>
      <c r="F244" s="18">
        <f t="shared" si="48"/>
        <v>300</v>
      </c>
      <c r="G244" s="16"/>
    </row>
    <row r="245" ht="15.75" customHeight="1">
      <c r="A245" s="19" t="s">
        <v>33</v>
      </c>
      <c r="B245" s="20">
        <v>18.679999999999993</v>
      </c>
      <c r="C245" s="19" t="s">
        <v>35</v>
      </c>
      <c r="D245" s="20">
        <v>71.73915529992185</v>
      </c>
      <c r="E245" s="19" t="s">
        <v>36</v>
      </c>
      <c r="F245" s="20">
        <v>34.725866381986826</v>
      </c>
      <c r="G245" s="19"/>
    </row>
    <row r="246" ht="15.75" customHeight="1">
      <c r="A246" s="19" t="s">
        <v>37</v>
      </c>
      <c r="B246" s="20">
        <v>0.6228956228956167</v>
      </c>
      <c r="C246" s="19" t="s">
        <v>38</v>
      </c>
      <c r="D246" s="20">
        <v>0.2787426669705157</v>
      </c>
      <c r="E246" s="19" t="s">
        <v>39</v>
      </c>
      <c r="F246" s="20">
        <v>2.234661918340274</v>
      </c>
      <c r="G246" s="19"/>
    </row>
    <row r="247" ht="15.75" customHeight="1">
      <c r="A247" s="19" t="s">
        <v>40</v>
      </c>
      <c r="B247" s="20">
        <v>3.08509942439461</v>
      </c>
      <c r="C247" s="19" t="s">
        <v>41</v>
      </c>
      <c r="D247" s="20">
        <v>50.0</v>
      </c>
      <c r="E247" s="19" t="s">
        <v>42</v>
      </c>
      <c r="F247" s="20">
        <v>1.0</v>
      </c>
      <c r="G247" s="19"/>
    </row>
    <row r="248" ht="15.75" customHeight="1">
      <c r="A248" s="21" t="s">
        <v>199</v>
      </c>
    </row>
    <row r="249" ht="30.0" customHeight="1">
      <c r="A249" s="22" t="s">
        <v>62</v>
      </c>
      <c r="B249" s="23"/>
      <c r="C249" s="23"/>
      <c r="D249" s="23"/>
      <c r="E249" s="23"/>
      <c r="F249" s="23"/>
      <c r="G249" s="24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</sheetData>
  <mergeCells count="81">
    <mergeCell ref="A11:B11"/>
    <mergeCell ref="A26:B26"/>
    <mergeCell ref="A43:B43"/>
    <mergeCell ref="A151:B151"/>
    <mergeCell ref="A168:B168"/>
    <mergeCell ref="A183:B183"/>
    <mergeCell ref="A198:B198"/>
    <mergeCell ref="A214:B214"/>
    <mergeCell ref="A229:B229"/>
    <mergeCell ref="A244:B244"/>
    <mergeCell ref="A60:B60"/>
    <mergeCell ref="A77:B77"/>
    <mergeCell ref="A93:B93"/>
    <mergeCell ref="A108:B108"/>
    <mergeCell ref="A122:B122"/>
    <mergeCell ref="A136:B136"/>
    <mergeCell ref="A84:G84"/>
    <mergeCell ref="A85:G85"/>
    <mergeCell ref="A97:G97"/>
    <mergeCell ref="A98:G98"/>
    <mergeCell ref="A100:G100"/>
    <mergeCell ref="A101:G101"/>
    <mergeCell ref="A112:G112"/>
    <mergeCell ref="A113:G113"/>
    <mergeCell ref="A115:G115"/>
    <mergeCell ref="A116:G116"/>
    <mergeCell ref="A126:G126"/>
    <mergeCell ref="A127:G127"/>
    <mergeCell ref="A129:G129"/>
    <mergeCell ref="A130:G130"/>
    <mergeCell ref="A140:G140"/>
    <mergeCell ref="A141:G141"/>
    <mergeCell ref="A143:G143"/>
    <mergeCell ref="A144:G144"/>
    <mergeCell ref="A155:G155"/>
    <mergeCell ref="A156:G156"/>
    <mergeCell ref="A158:G158"/>
    <mergeCell ref="A159:G159"/>
    <mergeCell ref="A172:G172"/>
    <mergeCell ref="A173:G173"/>
    <mergeCell ref="A175:G175"/>
    <mergeCell ref="A176:G176"/>
    <mergeCell ref="A187:G187"/>
    <mergeCell ref="A188:G188"/>
    <mergeCell ref="A190:G190"/>
    <mergeCell ref="A191:G191"/>
    <mergeCell ref="A202:G202"/>
    <mergeCell ref="A203:G203"/>
    <mergeCell ref="A205:G205"/>
    <mergeCell ref="A236:G236"/>
    <mergeCell ref="A237:G237"/>
    <mergeCell ref="A248:G248"/>
    <mergeCell ref="A249:G249"/>
    <mergeCell ref="A206:G206"/>
    <mergeCell ref="A218:G218"/>
    <mergeCell ref="A219:G219"/>
    <mergeCell ref="A221:G221"/>
    <mergeCell ref="A222:G222"/>
    <mergeCell ref="A233:G233"/>
    <mergeCell ref="A234:G234"/>
    <mergeCell ref="A2:G2"/>
    <mergeCell ref="A3:G3"/>
    <mergeCell ref="A15:G15"/>
    <mergeCell ref="A16:G16"/>
    <mergeCell ref="A18:G18"/>
    <mergeCell ref="A19:G19"/>
    <mergeCell ref="A30:G30"/>
    <mergeCell ref="A31:G31"/>
    <mergeCell ref="A33:G33"/>
    <mergeCell ref="A34:G34"/>
    <mergeCell ref="A47:G47"/>
    <mergeCell ref="A48:G48"/>
    <mergeCell ref="A50:G50"/>
    <mergeCell ref="A51:G51"/>
    <mergeCell ref="A64:G64"/>
    <mergeCell ref="A65:G65"/>
    <mergeCell ref="A67:G67"/>
    <mergeCell ref="A68:G68"/>
    <mergeCell ref="A81:G81"/>
    <mergeCell ref="A82:G82"/>
    <mergeCell ref="A1:G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30.0"/>
    <col customWidth="1" min="3" max="3" width="10.0"/>
    <col customWidth="1" min="4" max="4" width="12.0"/>
    <col customWidth="1" min="5" max="6" width="16.0"/>
    <col customWidth="1" min="7" max="7" width="14.0"/>
    <col customWidth="1" min="8" max="26" width="8.63"/>
  </cols>
  <sheetData>
    <row r="1" ht="27.75" customHeight="1">
      <c r="A1" s="2" t="s">
        <v>0</v>
      </c>
    </row>
    <row r="2" ht="15.75" customHeight="1"/>
    <row r="3" ht="22.5" customHeight="1">
      <c r="A3" s="4" t="s">
        <v>3</v>
      </c>
    </row>
    <row r="4" ht="15.75" customHeight="1">
      <c r="A4" s="5" t="s">
        <v>5</v>
      </c>
      <c r="B4" s="6"/>
      <c r="C4" s="6"/>
      <c r="D4" s="6"/>
      <c r="E4" s="6"/>
      <c r="F4" s="6"/>
      <c r="G4" s="7"/>
    </row>
    <row r="5" ht="30.0" customHeight="1">
      <c r="A5" s="9" t="s">
        <v>9</v>
      </c>
      <c r="B5" s="9" t="s">
        <v>10</v>
      </c>
      <c r="C5" s="9" t="s">
        <v>11</v>
      </c>
      <c r="D5" s="9" t="s">
        <v>12</v>
      </c>
      <c r="E5" s="9" t="s">
        <v>13</v>
      </c>
      <c r="F5" s="9" t="s">
        <v>14</v>
      </c>
      <c r="G5" s="9" t="s">
        <v>15</v>
      </c>
    </row>
    <row r="6" ht="15.75" customHeight="1">
      <c r="A6" s="10" t="s">
        <v>16</v>
      </c>
      <c r="B6" s="10" t="s">
        <v>19</v>
      </c>
      <c r="C6" s="11">
        <v>22.355159102506754</v>
      </c>
      <c r="D6" s="11">
        <v>87.78</v>
      </c>
      <c r="E6" s="11">
        <f t="shared" ref="E6:E12" si="1">IF(D6&gt;0,(C6/D6)/SUMPRODUCT($C$6:$C$12/$D$6:$D$12)*100,"")</f>
        <v>10.02491296</v>
      </c>
      <c r="F6" s="11">
        <f t="shared" ref="F6:F12" si="2">IF(E6&lt;&gt;"",E6*3,"")</f>
        <v>30.07473889</v>
      </c>
      <c r="G6" s="10" t="s">
        <v>21</v>
      </c>
    </row>
    <row r="7" ht="15.75" customHeight="1">
      <c r="A7" s="12" t="s">
        <v>22</v>
      </c>
      <c r="B7" s="12" t="s">
        <v>23</v>
      </c>
      <c r="C7" s="13">
        <v>11.075022516783555</v>
      </c>
      <c r="D7" s="13">
        <v>88.48</v>
      </c>
      <c r="E7" s="13">
        <f t="shared" si="1"/>
        <v>4.927174303</v>
      </c>
      <c r="F7" s="13">
        <f t="shared" si="2"/>
        <v>14.78152291</v>
      </c>
      <c r="G7" s="12" t="s">
        <v>21</v>
      </c>
    </row>
    <row r="8" ht="15.75" customHeight="1">
      <c r="A8" s="12" t="s">
        <v>22</v>
      </c>
      <c r="B8" s="12" t="s">
        <v>25</v>
      </c>
      <c r="C8" s="13">
        <v>1.0</v>
      </c>
      <c r="D8" s="13">
        <v>99.0</v>
      </c>
      <c r="E8" s="13">
        <f t="shared" si="1"/>
        <v>0.3976154283</v>
      </c>
      <c r="F8" s="13">
        <f t="shared" si="2"/>
        <v>1.192846285</v>
      </c>
      <c r="G8" s="12" t="s">
        <v>21</v>
      </c>
    </row>
    <row r="9" ht="15.75" customHeight="1">
      <c r="A9" s="12" t="s">
        <v>24</v>
      </c>
      <c r="B9" s="12" t="s">
        <v>26</v>
      </c>
      <c r="C9" s="13">
        <v>2.7286076789113616</v>
      </c>
      <c r="D9" s="13">
        <v>99.89</v>
      </c>
      <c r="E9" s="13">
        <f t="shared" si="1"/>
        <v>1.075269943</v>
      </c>
      <c r="F9" s="13">
        <f t="shared" si="2"/>
        <v>3.225809829</v>
      </c>
      <c r="G9" s="12" t="s">
        <v>21</v>
      </c>
    </row>
    <row r="10" ht="15.75" customHeight="1">
      <c r="A10" s="12" t="s">
        <v>24</v>
      </c>
      <c r="B10" s="12" t="s">
        <v>30</v>
      </c>
      <c r="C10" s="13">
        <v>0.1</v>
      </c>
      <c r="D10" s="13">
        <v>98.18</v>
      </c>
      <c r="E10" s="13">
        <f t="shared" si="1"/>
        <v>0.0400936315</v>
      </c>
      <c r="F10" s="13">
        <f t="shared" si="2"/>
        <v>0.1202808945</v>
      </c>
      <c r="G10" s="12" t="s">
        <v>21</v>
      </c>
    </row>
    <row r="11" ht="15.75" customHeight="1">
      <c r="A11" s="12" t="s">
        <v>28</v>
      </c>
      <c r="B11" s="12" t="s">
        <v>32</v>
      </c>
      <c r="C11" s="13">
        <v>40.0</v>
      </c>
      <c r="D11" s="13">
        <v>21.43</v>
      </c>
      <c r="E11" s="13">
        <f t="shared" si="1"/>
        <v>73.47443286</v>
      </c>
      <c r="F11" s="13">
        <f t="shared" si="2"/>
        <v>220.4232986</v>
      </c>
      <c r="G11" s="12" t="s">
        <v>21</v>
      </c>
    </row>
    <row r="12" ht="15.75" customHeight="1">
      <c r="A12" s="14" t="s">
        <v>16</v>
      </c>
      <c r="B12" s="14" t="s">
        <v>34</v>
      </c>
      <c r="C12" s="15">
        <v>22.741210701798327</v>
      </c>
      <c r="D12" s="15">
        <v>88.98</v>
      </c>
      <c r="E12" s="15">
        <f t="shared" si="1"/>
        <v>10.06050087</v>
      </c>
      <c r="F12" s="15">
        <f t="shared" si="2"/>
        <v>30.1815026</v>
      </c>
      <c r="G12" s="14" t="s">
        <v>21</v>
      </c>
    </row>
    <row r="13" ht="15.75" customHeight="1">
      <c r="A13" s="16" t="s">
        <v>27</v>
      </c>
      <c r="B13" s="17"/>
      <c r="C13" s="18">
        <f>SUM(C6:C12)</f>
        <v>100</v>
      </c>
      <c r="D13" s="18"/>
      <c r="E13" s="18">
        <f t="shared" ref="E13:F13" si="3">SUM(E6:E12)</f>
        <v>100</v>
      </c>
      <c r="F13" s="18">
        <f t="shared" si="3"/>
        <v>300</v>
      </c>
      <c r="G13" s="16"/>
    </row>
    <row r="14" ht="15.75" customHeight="1">
      <c r="A14" s="19" t="s">
        <v>33</v>
      </c>
      <c r="B14" s="20">
        <v>18.67686868686869</v>
      </c>
      <c r="C14" s="19" t="s">
        <v>35</v>
      </c>
      <c r="D14" s="20">
        <v>73.01619411075771</v>
      </c>
      <c r="E14" s="19" t="s">
        <v>36</v>
      </c>
      <c r="F14" s="20">
        <v>33.57881613012969</v>
      </c>
      <c r="G14" s="19"/>
    </row>
    <row r="15" ht="15.75" customHeight="1">
      <c r="A15" s="19" t="s">
        <v>37</v>
      </c>
      <c r="B15" s="20">
        <v>1.2844544218815095</v>
      </c>
      <c r="C15" s="19" t="s">
        <v>38</v>
      </c>
      <c r="D15" s="20">
        <v>0.6422272109407555</v>
      </c>
      <c r="E15" s="19" t="s">
        <v>39</v>
      </c>
      <c r="F15" s="20">
        <v>1.9999999999999976</v>
      </c>
      <c r="G15" s="19"/>
    </row>
    <row r="16" ht="15.75" customHeight="1">
      <c r="A16" s="19" t="s">
        <v>40</v>
      </c>
      <c r="B16" s="20">
        <v>5.7744663196933494</v>
      </c>
      <c r="C16" s="19" t="s">
        <v>41</v>
      </c>
      <c r="D16" s="20">
        <v>40.0</v>
      </c>
      <c r="E16" s="19" t="s">
        <v>42</v>
      </c>
      <c r="F16" s="20">
        <v>0.0</v>
      </c>
      <c r="G16" s="19"/>
    </row>
    <row r="17" ht="15.75" customHeight="1">
      <c r="A17" s="25" t="s">
        <v>50</v>
      </c>
    </row>
    <row r="18" ht="30.0" customHeight="1">
      <c r="A18" s="26" t="s">
        <v>51</v>
      </c>
      <c r="B18" s="23"/>
      <c r="C18" s="23"/>
      <c r="D18" s="23"/>
      <c r="E18" s="23"/>
      <c r="F18" s="23"/>
      <c r="G18" s="24"/>
    </row>
    <row r="19" ht="15.75" customHeight="1"/>
    <row r="20" ht="22.5" customHeight="1">
      <c r="A20" s="4" t="s">
        <v>2</v>
      </c>
    </row>
    <row r="21" ht="15.75" customHeight="1">
      <c r="A21" s="5" t="s">
        <v>4</v>
      </c>
      <c r="B21" s="6"/>
      <c r="C21" s="6"/>
      <c r="D21" s="6"/>
      <c r="E21" s="6"/>
      <c r="F21" s="6"/>
      <c r="G21" s="7"/>
    </row>
    <row r="22" ht="30.0" customHeight="1">
      <c r="A22" s="9" t="s">
        <v>9</v>
      </c>
      <c r="B22" s="9" t="s">
        <v>10</v>
      </c>
      <c r="C22" s="9" t="s">
        <v>11</v>
      </c>
      <c r="D22" s="9" t="s">
        <v>12</v>
      </c>
      <c r="E22" s="9" t="s">
        <v>13</v>
      </c>
      <c r="F22" s="9" t="s">
        <v>14</v>
      </c>
      <c r="G22" s="9" t="s">
        <v>15</v>
      </c>
    </row>
    <row r="23" ht="15.75" customHeight="1">
      <c r="A23" s="10" t="s">
        <v>18</v>
      </c>
      <c r="B23" s="10" t="s">
        <v>20</v>
      </c>
      <c r="C23" s="11">
        <v>42.25</v>
      </c>
      <c r="D23" s="11">
        <v>31.59</v>
      </c>
      <c r="E23" s="11">
        <f t="shared" ref="E23:E28" si="4">IF(D23&gt;0,(C23/D23)/SUMPRODUCT($C$23:$C$28/$D$23:$D$28)*100,"")</f>
        <v>58.80373743</v>
      </c>
      <c r="F23" s="11">
        <f t="shared" ref="F23:F28" si="5">IF(E23&lt;&gt;"",E23*3,"")</f>
        <v>176.4112123</v>
      </c>
      <c r="G23" s="10" t="s">
        <v>21</v>
      </c>
    </row>
    <row r="24" ht="15.75" customHeight="1">
      <c r="A24" s="12" t="s">
        <v>16</v>
      </c>
      <c r="B24" s="12" t="s">
        <v>19</v>
      </c>
      <c r="C24" s="13">
        <v>29.591638143027723</v>
      </c>
      <c r="D24" s="13">
        <v>87.78</v>
      </c>
      <c r="E24" s="13">
        <f t="shared" si="4"/>
        <v>14.82181108</v>
      </c>
      <c r="F24" s="13">
        <f t="shared" si="5"/>
        <v>44.46543325</v>
      </c>
      <c r="G24" s="12" t="s">
        <v>21</v>
      </c>
    </row>
    <row r="25" ht="15.75" customHeight="1">
      <c r="A25" s="12" t="s">
        <v>22</v>
      </c>
      <c r="B25" s="12" t="s">
        <v>23</v>
      </c>
      <c r="C25" s="13">
        <v>16.397568941454423</v>
      </c>
      <c r="D25" s="13">
        <v>88.48</v>
      </c>
      <c r="E25" s="13">
        <f t="shared" si="4"/>
        <v>8.148209635</v>
      </c>
      <c r="F25" s="13">
        <f t="shared" si="5"/>
        <v>24.44462891</v>
      </c>
      <c r="G25" s="12" t="s">
        <v>21</v>
      </c>
    </row>
    <row r="26" ht="15.75" customHeight="1">
      <c r="A26" s="12" t="s">
        <v>22</v>
      </c>
      <c r="B26" s="12" t="s">
        <v>25</v>
      </c>
      <c r="C26" s="13">
        <v>1.0</v>
      </c>
      <c r="D26" s="13">
        <v>99.0</v>
      </c>
      <c r="E26" s="13">
        <f t="shared" si="4"/>
        <v>0.4441121429</v>
      </c>
      <c r="F26" s="13">
        <f t="shared" si="5"/>
        <v>1.332336429</v>
      </c>
      <c r="G26" s="12" t="s">
        <v>21</v>
      </c>
    </row>
    <row r="27" ht="15.75" customHeight="1">
      <c r="A27" s="12" t="s">
        <v>24</v>
      </c>
      <c r="B27" s="12" t="s">
        <v>26</v>
      </c>
      <c r="C27" s="13">
        <v>0.7607929155178572</v>
      </c>
      <c r="D27" s="13">
        <v>99.89</v>
      </c>
      <c r="E27" s="13">
        <f t="shared" si="4"/>
        <v>0.3348669519</v>
      </c>
      <c r="F27" s="13">
        <f t="shared" si="5"/>
        <v>1.004600856</v>
      </c>
      <c r="G27" s="12" t="s">
        <v>21</v>
      </c>
    </row>
    <row r="28" ht="15.75" customHeight="1">
      <c r="A28" s="14" t="s">
        <v>28</v>
      </c>
      <c r="B28" s="14" t="s">
        <v>29</v>
      </c>
      <c r="C28" s="15">
        <v>10.0</v>
      </c>
      <c r="D28" s="15">
        <v>25.2</v>
      </c>
      <c r="E28" s="15">
        <f t="shared" si="4"/>
        <v>17.44726275</v>
      </c>
      <c r="F28" s="15">
        <f t="shared" si="5"/>
        <v>52.34178826</v>
      </c>
      <c r="G28" s="14" t="s">
        <v>31</v>
      </c>
    </row>
    <row r="29" ht="15.75" customHeight="1">
      <c r="A29" s="16" t="s">
        <v>27</v>
      </c>
      <c r="B29" s="17"/>
      <c r="C29" s="18">
        <f>SUM(C23:C28)</f>
        <v>100</v>
      </c>
      <c r="D29" s="18"/>
      <c r="E29" s="18">
        <f t="shared" ref="E29:F29" si="6">SUM(E23:E28)</f>
        <v>100</v>
      </c>
      <c r="F29" s="18">
        <f t="shared" si="6"/>
        <v>300</v>
      </c>
      <c r="G29" s="16"/>
    </row>
    <row r="30" ht="15.75" customHeight="1">
      <c r="A30" s="19" t="s">
        <v>33</v>
      </c>
      <c r="B30" s="20">
        <v>18.6768686868687</v>
      </c>
      <c r="C30" s="19" t="s">
        <v>35</v>
      </c>
      <c r="D30" s="20">
        <v>72.4278687008829</v>
      </c>
      <c r="E30" s="19" t="s">
        <v>36</v>
      </c>
      <c r="F30" s="20">
        <v>33.879118075083234</v>
      </c>
      <c r="G30" s="19"/>
    </row>
    <row r="31" ht="15.75" customHeight="1">
      <c r="A31" s="19" t="s">
        <v>37</v>
      </c>
      <c r="B31" s="20">
        <v>0.6228956228956276</v>
      </c>
      <c r="C31" s="19" t="s">
        <v>38</v>
      </c>
      <c r="D31" s="20">
        <v>0.2747963176154113</v>
      </c>
      <c r="E31" s="19" t="s">
        <v>39</v>
      </c>
      <c r="F31" s="20">
        <v>2.2667538935779903</v>
      </c>
      <c r="G31" s="19"/>
    </row>
    <row r="32" ht="15.75" customHeight="1">
      <c r="A32" s="19" t="s">
        <v>40</v>
      </c>
      <c r="B32" s="20">
        <v>3.216312930854011</v>
      </c>
      <c r="C32" s="19" t="s">
        <v>41</v>
      </c>
      <c r="D32" s="20">
        <v>52.25</v>
      </c>
      <c r="E32" s="19" t="s">
        <v>42</v>
      </c>
      <c r="F32" s="20">
        <v>1.0</v>
      </c>
      <c r="G32" s="19"/>
    </row>
    <row r="33" ht="15.75" customHeight="1">
      <c r="A33" s="21" t="s">
        <v>72</v>
      </c>
    </row>
    <row r="34" ht="30.0" customHeight="1">
      <c r="A34" s="22" t="s">
        <v>76</v>
      </c>
      <c r="B34" s="23"/>
      <c r="C34" s="23"/>
      <c r="D34" s="23"/>
      <c r="E34" s="23"/>
      <c r="F34" s="23"/>
      <c r="G34" s="24"/>
    </row>
    <row r="35" ht="15.75" customHeight="1"/>
    <row r="36" ht="22.5" customHeight="1">
      <c r="A36" s="4" t="s">
        <v>48</v>
      </c>
    </row>
    <row r="37" ht="15.75" customHeight="1">
      <c r="A37" s="5" t="s">
        <v>49</v>
      </c>
      <c r="B37" s="6"/>
      <c r="C37" s="6"/>
      <c r="D37" s="6"/>
      <c r="E37" s="6"/>
      <c r="F37" s="6"/>
      <c r="G37" s="7"/>
    </row>
    <row r="38" ht="30.0" customHeight="1">
      <c r="A38" s="9" t="s">
        <v>9</v>
      </c>
      <c r="B38" s="9" t="s">
        <v>10</v>
      </c>
      <c r="C38" s="9" t="s">
        <v>11</v>
      </c>
      <c r="D38" s="9" t="s">
        <v>12</v>
      </c>
      <c r="E38" s="9" t="s">
        <v>13</v>
      </c>
      <c r="F38" s="9" t="s">
        <v>14</v>
      </c>
      <c r="G38" s="9" t="s">
        <v>15</v>
      </c>
    </row>
    <row r="39" ht="15.75" customHeight="1">
      <c r="A39" s="10" t="s">
        <v>18</v>
      </c>
      <c r="B39" s="10" t="s">
        <v>20</v>
      </c>
      <c r="C39" s="11">
        <v>50.00376977711704</v>
      </c>
      <c r="D39" s="11">
        <v>31.59</v>
      </c>
      <c r="E39" s="11">
        <f t="shared" ref="E39:E43" si="7">IF(D39&gt;0,(C39/D39)/SUMPRODUCT($C$39:$C$43/$D$39:$D$43)*100,"")</f>
        <v>73.69598614</v>
      </c>
      <c r="F39" s="11">
        <f t="shared" ref="F39:F43" si="8">IF(E39&lt;&gt;"",E39*3,"")</f>
        <v>221.0879584</v>
      </c>
      <c r="G39" s="10" t="s">
        <v>21</v>
      </c>
    </row>
    <row r="40" ht="15.75" customHeight="1">
      <c r="A40" s="12" t="s">
        <v>16</v>
      </c>
      <c r="B40" s="12" t="s">
        <v>19</v>
      </c>
      <c r="C40" s="13">
        <v>28.01</v>
      </c>
      <c r="D40" s="13">
        <v>87.78</v>
      </c>
      <c r="E40" s="13">
        <f t="shared" si="7"/>
        <v>14.85621739</v>
      </c>
      <c r="F40" s="13">
        <f t="shared" si="8"/>
        <v>44.56865218</v>
      </c>
      <c r="G40" s="12" t="s">
        <v>31</v>
      </c>
    </row>
    <row r="41" ht="15.75" customHeight="1">
      <c r="A41" s="12" t="s">
        <v>22</v>
      </c>
      <c r="B41" s="12" t="s">
        <v>23</v>
      </c>
      <c r="C41" s="13">
        <v>19.9</v>
      </c>
      <c r="D41" s="13">
        <v>88.48</v>
      </c>
      <c r="E41" s="13">
        <f t="shared" si="7"/>
        <v>10.47125356</v>
      </c>
      <c r="F41" s="13">
        <f t="shared" si="8"/>
        <v>31.41376067</v>
      </c>
      <c r="G41" s="12" t="s">
        <v>31</v>
      </c>
    </row>
    <row r="42" ht="15.75" customHeight="1">
      <c r="A42" s="12" t="s">
        <v>22</v>
      </c>
      <c r="B42" s="12" t="s">
        <v>25</v>
      </c>
      <c r="C42" s="13">
        <v>0.9962302228829564</v>
      </c>
      <c r="D42" s="13">
        <v>99.0</v>
      </c>
      <c r="E42" s="13">
        <f t="shared" si="7"/>
        <v>0.4685060806</v>
      </c>
      <c r="F42" s="13">
        <f t="shared" si="8"/>
        <v>1.405518242</v>
      </c>
      <c r="G42" s="12" t="s">
        <v>21</v>
      </c>
    </row>
    <row r="43" ht="15.75" customHeight="1">
      <c r="A43" s="14" t="s">
        <v>24</v>
      </c>
      <c r="B43" s="14" t="s">
        <v>26</v>
      </c>
      <c r="C43" s="15">
        <v>1.09</v>
      </c>
      <c r="D43" s="15">
        <v>99.89</v>
      </c>
      <c r="E43" s="15">
        <f t="shared" si="7"/>
        <v>0.508036831</v>
      </c>
      <c r="F43" s="15">
        <f t="shared" si="8"/>
        <v>1.524110493</v>
      </c>
      <c r="G43" s="14" t="s">
        <v>31</v>
      </c>
    </row>
    <row r="44" ht="15.75" customHeight="1">
      <c r="A44" s="16" t="s">
        <v>27</v>
      </c>
      <c r="B44" s="17"/>
      <c r="C44" s="18">
        <f>SUM(C39:C43)</f>
        <v>100</v>
      </c>
      <c r="D44" s="18"/>
      <c r="E44" s="18">
        <f t="shared" ref="E44:F44" si="9">SUM(E39:E43)</f>
        <v>100</v>
      </c>
      <c r="F44" s="18">
        <f t="shared" si="9"/>
        <v>300</v>
      </c>
      <c r="G44" s="16"/>
    </row>
    <row r="45" ht="15.75" customHeight="1">
      <c r="A45" s="19" t="s">
        <v>33</v>
      </c>
      <c r="B45" s="20">
        <v>18.676868686868687</v>
      </c>
      <c r="C45" s="19" t="s">
        <v>35</v>
      </c>
      <c r="D45" s="20">
        <v>71.729652860294</v>
      </c>
      <c r="E45" s="19" t="s">
        <v>36</v>
      </c>
      <c r="F45" s="20">
        <v>34.726352555812596</v>
      </c>
      <c r="G45" s="19"/>
    </row>
    <row r="46" ht="15.75" customHeight="1">
      <c r="A46" s="19" t="s">
        <v>37</v>
      </c>
      <c r="B46" s="20">
        <v>0.6311993093313512</v>
      </c>
      <c r="C46" s="19" t="s">
        <v>38</v>
      </c>
      <c r="D46" s="20">
        <v>0.27857116257652237</v>
      </c>
      <c r="E46" s="19" t="s">
        <v>39</v>
      </c>
      <c r="F46" s="20">
        <v>2.2658458380736493</v>
      </c>
      <c r="G46" s="19"/>
    </row>
    <row r="47" ht="15.75" customHeight="1">
      <c r="A47" s="19" t="s">
        <v>40</v>
      </c>
      <c r="B47" s="20">
        <v>3.084185994023764</v>
      </c>
      <c r="C47" s="19" t="s">
        <v>41</v>
      </c>
      <c r="D47" s="20">
        <v>50.00376977711704</v>
      </c>
      <c r="E47" s="19" t="s">
        <v>42</v>
      </c>
      <c r="F47" s="20">
        <v>1.0</v>
      </c>
      <c r="G47" s="19"/>
    </row>
    <row r="48" ht="15.75" customHeight="1">
      <c r="A48" s="21" t="s">
        <v>97</v>
      </c>
    </row>
    <row r="49" ht="30.0" customHeight="1">
      <c r="A49" s="22" t="s">
        <v>62</v>
      </c>
      <c r="B49" s="23"/>
      <c r="C49" s="23"/>
      <c r="D49" s="23"/>
      <c r="E49" s="23"/>
      <c r="F49" s="23"/>
      <c r="G49" s="24"/>
    </row>
    <row r="50" ht="15.75" customHeight="1"/>
    <row r="51" ht="22.5" customHeight="1">
      <c r="A51" s="4" t="s">
        <v>65</v>
      </c>
    </row>
    <row r="52" ht="15.75" customHeight="1">
      <c r="A52" s="5" t="s">
        <v>8</v>
      </c>
      <c r="B52" s="6"/>
      <c r="C52" s="6"/>
      <c r="D52" s="6"/>
      <c r="E52" s="6"/>
      <c r="F52" s="6"/>
      <c r="G52" s="7"/>
    </row>
    <row r="53" ht="30.0" customHeight="1">
      <c r="A53" s="9" t="s">
        <v>9</v>
      </c>
      <c r="B53" s="9" t="s">
        <v>10</v>
      </c>
      <c r="C53" s="9" t="s">
        <v>11</v>
      </c>
      <c r="D53" s="9" t="s">
        <v>12</v>
      </c>
      <c r="E53" s="9" t="s">
        <v>13</v>
      </c>
      <c r="F53" s="9" t="s">
        <v>14</v>
      </c>
      <c r="G53" s="9" t="s">
        <v>15</v>
      </c>
    </row>
    <row r="54" ht="15.75" customHeight="1">
      <c r="A54" s="10" t="s">
        <v>18</v>
      </c>
      <c r="B54" s="10" t="s">
        <v>20</v>
      </c>
      <c r="C54" s="11">
        <v>27.225000000000005</v>
      </c>
      <c r="D54" s="11">
        <v>31.59</v>
      </c>
      <c r="E54" s="11">
        <f t="shared" ref="E54:E60" si="10">IF(D54&gt;0,(C54/D54)/SUMPRODUCT($C$54:$C$60/$D$54:$D$60)*100,"")</f>
        <v>51.10867276</v>
      </c>
      <c r="F54" s="11">
        <f t="shared" ref="F54:F60" si="11">IF(E54&lt;&gt;"",E54*3,"")</f>
        <v>153.3260183</v>
      </c>
      <c r="G54" s="10" t="s">
        <v>21</v>
      </c>
    </row>
    <row r="55" ht="15.75" customHeight="1">
      <c r="A55" s="12" t="s">
        <v>16</v>
      </c>
      <c r="B55" s="12" t="s">
        <v>19</v>
      </c>
      <c r="C55" s="13">
        <v>20.63992681305208</v>
      </c>
      <c r="D55" s="13">
        <v>87.78</v>
      </c>
      <c r="E55" s="13">
        <f t="shared" si="10"/>
        <v>13.94404954</v>
      </c>
      <c r="F55" s="13">
        <f t="shared" si="11"/>
        <v>41.83214861</v>
      </c>
      <c r="G55" s="12" t="s">
        <v>21</v>
      </c>
    </row>
    <row r="56" ht="15.75" customHeight="1">
      <c r="A56" s="12" t="s">
        <v>22</v>
      </c>
      <c r="B56" s="12" t="s">
        <v>23</v>
      </c>
      <c r="C56" s="13">
        <v>16.953422053493934</v>
      </c>
      <c r="D56" s="13">
        <v>88.48</v>
      </c>
      <c r="E56" s="13">
        <f t="shared" si="10"/>
        <v>11.36288471</v>
      </c>
      <c r="F56" s="13">
        <f t="shared" si="11"/>
        <v>34.08865413</v>
      </c>
      <c r="G56" s="12" t="s">
        <v>21</v>
      </c>
    </row>
    <row r="57" ht="15.75" customHeight="1">
      <c r="A57" s="12" t="s">
        <v>22</v>
      </c>
      <c r="B57" s="12" t="s">
        <v>66</v>
      </c>
      <c r="C57" s="13">
        <v>8.256726024376656</v>
      </c>
      <c r="D57" s="13">
        <v>86.0</v>
      </c>
      <c r="E57" s="13">
        <f t="shared" si="10"/>
        <v>5.693584404</v>
      </c>
      <c r="F57" s="13">
        <f t="shared" si="11"/>
        <v>17.08075321</v>
      </c>
      <c r="G57" s="12" t="s">
        <v>21</v>
      </c>
    </row>
    <row r="58" ht="15.75" customHeight="1">
      <c r="A58" s="12" t="s">
        <v>16</v>
      </c>
      <c r="B58" s="12" t="s">
        <v>17</v>
      </c>
      <c r="C58" s="13">
        <v>23.80766031708124</v>
      </c>
      <c r="D58" s="13">
        <v>88.05</v>
      </c>
      <c r="E58" s="13">
        <f t="shared" si="10"/>
        <v>16.03480555</v>
      </c>
      <c r="F58" s="13">
        <f t="shared" si="11"/>
        <v>48.10441664</v>
      </c>
      <c r="G58" s="12" t="s">
        <v>21</v>
      </c>
    </row>
    <row r="59" ht="15.75" customHeight="1">
      <c r="A59" s="12" t="s">
        <v>24</v>
      </c>
      <c r="B59" s="12" t="s">
        <v>26</v>
      </c>
      <c r="C59" s="13">
        <v>2.117264791996078</v>
      </c>
      <c r="D59" s="13">
        <v>99.89</v>
      </c>
      <c r="E59" s="13">
        <f t="shared" si="10"/>
        <v>1.256983286</v>
      </c>
      <c r="F59" s="13">
        <f t="shared" si="11"/>
        <v>3.770949858</v>
      </c>
      <c r="G59" s="12" t="s">
        <v>21</v>
      </c>
    </row>
    <row r="60" ht="15.75" customHeight="1">
      <c r="A60" s="14" t="s">
        <v>24</v>
      </c>
      <c r="B60" s="14" t="s">
        <v>70</v>
      </c>
      <c r="C60" s="15">
        <v>1.0</v>
      </c>
      <c r="D60" s="15">
        <v>99.0</v>
      </c>
      <c r="E60" s="15">
        <f t="shared" si="10"/>
        <v>0.5990197559</v>
      </c>
      <c r="F60" s="15">
        <f t="shared" si="11"/>
        <v>1.797059268</v>
      </c>
      <c r="G60" s="14" t="s">
        <v>21</v>
      </c>
    </row>
    <row r="61" ht="15.75" customHeight="1">
      <c r="A61" s="16" t="s">
        <v>27</v>
      </c>
      <c r="B61" s="17"/>
      <c r="C61" s="18">
        <f>SUM(C54:C60)</f>
        <v>100</v>
      </c>
      <c r="D61" s="18"/>
      <c r="E61" s="18">
        <f t="shared" ref="E61:F61" si="12">SUM(E54:E60)</f>
        <v>100</v>
      </c>
      <c r="F61" s="18">
        <f t="shared" si="12"/>
        <v>300</v>
      </c>
      <c r="G61" s="16"/>
    </row>
    <row r="62" ht="15.75" customHeight="1">
      <c r="A62" s="19" t="s">
        <v>33</v>
      </c>
      <c r="B62" s="20">
        <v>18.676868686868684</v>
      </c>
      <c r="C62" s="19" t="s">
        <v>35</v>
      </c>
      <c r="D62" s="20">
        <v>73.0479882192308</v>
      </c>
      <c r="E62" s="19" t="s">
        <v>36</v>
      </c>
      <c r="F62" s="20">
        <v>33.87144808362406</v>
      </c>
      <c r="G62" s="19"/>
    </row>
    <row r="63" ht="15.75" customHeight="1">
      <c r="A63" s="19" t="s">
        <v>37</v>
      </c>
      <c r="B63" s="20">
        <v>0.9848002608480612</v>
      </c>
      <c r="C63" s="19" t="s">
        <v>38</v>
      </c>
      <c r="D63" s="20">
        <v>0.4924001304240302</v>
      </c>
      <c r="E63" s="19" t="s">
        <v>39</v>
      </c>
      <c r="F63" s="20">
        <v>2.0000000000000018</v>
      </c>
      <c r="G63" s="19"/>
    </row>
    <row r="64" ht="15.75" customHeight="1">
      <c r="A64" s="19" t="s">
        <v>40</v>
      </c>
      <c r="B64" s="20">
        <v>3.111592346804529</v>
      </c>
      <c r="C64" s="19" t="s">
        <v>41</v>
      </c>
      <c r="D64" s="20">
        <v>27.225000000000005</v>
      </c>
      <c r="E64" s="19" t="s">
        <v>42</v>
      </c>
      <c r="F64" s="20">
        <v>0.0</v>
      </c>
      <c r="G64" s="19"/>
    </row>
    <row r="65" ht="15.75" customHeight="1">
      <c r="A65" s="21" t="s">
        <v>125</v>
      </c>
    </row>
    <row r="66" ht="30.0" customHeight="1">
      <c r="A66" s="26" t="s">
        <v>51</v>
      </c>
      <c r="B66" s="23"/>
      <c r="C66" s="23"/>
      <c r="D66" s="23"/>
      <c r="E66" s="23"/>
      <c r="F66" s="23"/>
      <c r="G66" s="24"/>
    </row>
    <row r="67" ht="15.75" customHeight="1"/>
    <row r="68" ht="22.5" customHeight="1">
      <c r="A68" s="4" t="s">
        <v>79</v>
      </c>
    </row>
    <row r="69" ht="15.75" customHeight="1">
      <c r="A69" s="5" t="s">
        <v>80</v>
      </c>
      <c r="B69" s="6"/>
      <c r="C69" s="6"/>
      <c r="D69" s="6"/>
      <c r="E69" s="6"/>
      <c r="F69" s="6"/>
      <c r="G69" s="7"/>
    </row>
    <row r="70" ht="30.0" customHeight="1">
      <c r="A70" s="9" t="s">
        <v>9</v>
      </c>
      <c r="B70" s="9" t="s">
        <v>10</v>
      </c>
      <c r="C70" s="9" t="s">
        <v>11</v>
      </c>
      <c r="D70" s="9" t="s">
        <v>12</v>
      </c>
      <c r="E70" s="9" t="s">
        <v>13</v>
      </c>
      <c r="F70" s="9" t="s">
        <v>14</v>
      </c>
      <c r="G70" s="9" t="s">
        <v>15</v>
      </c>
    </row>
    <row r="71" ht="15.75" customHeight="1">
      <c r="A71" s="10" t="s">
        <v>18</v>
      </c>
      <c r="B71" s="10" t="s">
        <v>20</v>
      </c>
      <c r="C71" s="11">
        <v>22.275000000000002</v>
      </c>
      <c r="D71" s="11">
        <v>31.59</v>
      </c>
      <c r="E71" s="11">
        <f t="shared" ref="E71:E77" si="13">IF(D71&gt;0,(C71/D71)/SUMPRODUCT($C$71:$C$77/$D$71:$D$77)*100,"")</f>
        <v>44.47245264</v>
      </c>
      <c r="F71" s="11">
        <f t="shared" ref="F71:F77" si="14">IF(E71&lt;&gt;"",E71*3,"")</f>
        <v>133.4173579</v>
      </c>
      <c r="G71" s="10" t="s">
        <v>21</v>
      </c>
    </row>
    <row r="72" ht="15.75" customHeight="1">
      <c r="A72" s="12" t="s">
        <v>16</v>
      </c>
      <c r="B72" s="12" t="s">
        <v>19</v>
      </c>
      <c r="C72" s="13">
        <v>35.020168470815996</v>
      </c>
      <c r="D72" s="13">
        <v>87.78</v>
      </c>
      <c r="E72" s="13">
        <f t="shared" si="13"/>
        <v>25.16202844</v>
      </c>
      <c r="F72" s="13">
        <f t="shared" si="14"/>
        <v>75.48608533</v>
      </c>
      <c r="G72" s="12" t="s">
        <v>21</v>
      </c>
    </row>
    <row r="73" ht="15.75" customHeight="1">
      <c r="A73" s="12" t="s">
        <v>22</v>
      </c>
      <c r="B73" s="12" t="s">
        <v>23</v>
      </c>
      <c r="C73" s="13">
        <v>0.1</v>
      </c>
      <c r="D73" s="13">
        <v>88.48</v>
      </c>
      <c r="E73" s="13">
        <f t="shared" si="13"/>
        <v>0.0712816724</v>
      </c>
      <c r="F73" s="13">
        <f t="shared" si="14"/>
        <v>0.2138450172</v>
      </c>
      <c r="G73" s="12" t="s">
        <v>21</v>
      </c>
    </row>
    <row r="74" ht="15.75" customHeight="1">
      <c r="A74" s="12" t="s">
        <v>22</v>
      </c>
      <c r="B74" s="12" t="s">
        <v>66</v>
      </c>
      <c r="C74" s="13">
        <v>5.934519890469068</v>
      </c>
      <c r="D74" s="13">
        <v>86.0</v>
      </c>
      <c r="E74" s="13">
        <f t="shared" si="13"/>
        <v>4.352212911</v>
      </c>
      <c r="F74" s="13">
        <f t="shared" si="14"/>
        <v>13.05663873</v>
      </c>
      <c r="G74" s="12" t="s">
        <v>21</v>
      </c>
    </row>
    <row r="75" ht="15.75" customHeight="1">
      <c r="A75" s="12" t="s">
        <v>16</v>
      </c>
      <c r="B75" s="12" t="s">
        <v>17</v>
      </c>
      <c r="C75" s="13">
        <v>32.77744338363425</v>
      </c>
      <c r="D75" s="13">
        <v>88.05</v>
      </c>
      <c r="E75" s="13">
        <f t="shared" si="13"/>
        <v>23.4784115</v>
      </c>
      <c r="F75" s="13">
        <f t="shared" si="14"/>
        <v>70.43523449</v>
      </c>
      <c r="G75" s="12" t="s">
        <v>21</v>
      </c>
    </row>
    <row r="76" ht="15.75" customHeight="1">
      <c r="A76" s="12" t="s">
        <v>24</v>
      </c>
      <c r="B76" s="12" t="s">
        <v>26</v>
      </c>
      <c r="C76" s="13">
        <v>2.892868255080674</v>
      </c>
      <c r="D76" s="13">
        <v>99.89</v>
      </c>
      <c r="E76" s="13">
        <f t="shared" si="13"/>
        <v>1.826541891</v>
      </c>
      <c r="F76" s="13">
        <f t="shared" si="14"/>
        <v>5.479625674</v>
      </c>
      <c r="G76" s="12" t="s">
        <v>21</v>
      </c>
    </row>
    <row r="77" ht="15.75" customHeight="1">
      <c r="A77" s="14" t="s">
        <v>24</v>
      </c>
      <c r="B77" s="14" t="s">
        <v>70</v>
      </c>
      <c r="C77" s="15">
        <v>1.0</v>
      </c>
      <c r="D77" s="15">
        <v>99.0</v>
      </c>
      <c r="E77" s="15">
        <f t="shared" si="13"/>
        <v>0.6370709469</v>
      </c>
      <c r="F77" s="15">
        <f t="shared" si="14"/>
        <v>1.911212841</v>
      </c>
      <c r="G77" s="14" t="s">
        <v>21</v>
      </c>
    </row>
    <row r="78" ht="15.75" customHeight="1">
      <c r="A78" s="16" t="s">
        <v>27</v>
      </c>
      <c r="B78" s="17"/>
      <c r="C78" s="18">
        <f>SUM(C71:C77)</f>
        <v>100</v>
      </c>
      <c r="D78" s="18"/>
      <c r="E78" s="18">
        <f t="shared" ref="E78:F78" si="15">SUM(E71:E77)</f>
        <v>100</v>
      </c>
      <c r="F78" s="18">
        <f t="shared" si="15"/>
        <v>300</v>
      </c>
      <c r="G78" s="16"/>
    </row>
    <row r="79" ht="15.75" customHeight="1">
      <c r="A79" s="19" t="s">
        <v>33</v>
      </c>
      <c r="B79" s="20">
        <v>12.24684210526316</v>
      </c>
      <c r="C79" s="19" t="s">
        <v>35</v>
      </c>
      <c r="D79" s="20">
        <v>72.99856219108821</v>
      </c>
      <c r="E79" s="19" t="s">
        <v>36</v>
      </c>
      <c r="F79" s="20">
        <v>33.77506205748412</v>
      </c>
      <c r="G79" s="19"/>
    </row>
    <row r="80" ht="15.75" customHeight="1">
      <c r="A80" s="19" t="s">
        <v>37</v>
      </c>
      <c r="B80" s="20">
        <v>1.223985198177063</v>
      </c>
      <c r="C80" s="19" t="s">
        <v>38</v>
      </c>
      <c r="D80" s="20">
        <v>0.489594079270826</v>
      </c>
      <c r="E80" s="19" t="s">
        <v>39</v>
      </c>
      <c r="F80" s="20">
        <v>2.499999999999996</v>
      </c>
      <c r="G80" s="19"/>
    </row>
    <row r="81" ht="15.75" customHeight="1">
      <c r="A81" s="19" t="s">
        <v>40</v>
      </c>
      <c r="B81" s="20">
        <v>3.5142686119282867</v>
      </c>
      <c r="C81" s="19" t="s">
        <v>41</v>
      </c>
      <c r="D81" s="20">
        <v>22.275000000000002</v>
      </c>
      <c r="E81" s="19" t="s">
        <v>42</v>
      </c>
      <c r="F81" s="20">
        <v>0.0</v>
      </c>
      <c r="G81" s="19"/>
    </row>
    <row r="82" ht="15.75" customHeight="1">
      <c r="A82" s="21" t="s">
        <v>131</v>
      </c>
    </row>
    <row r="83" ht="30.0" customHeight="1">
      <c r="A83" s="26" t="s">
        <v>51</v>
      </c>
      <c r="B83" s="23"/>
      <c r="C83" s="23"/>
      <c r="D83" s="23"/>
      <c r="E83" s="23"/>
      <c r="F83" s="23"/>
      <c r="G83" s="24"/>
    </row>
    <row r="84" ht="15.75" customHeight="1"/>
    <row r="85" ht="22.5" customHeight="1">
      <c r="A85" s="4" t="s">
        <v>109</v>
      </c>
    </row>
    <row r="86" ht="15.75" customHeight="1">
      <c r="A86" s="5" t="s">
        <v>112</v>
      </c>
      <c r="B86" s="6"/>
      <c r="C86" s="6"/>
      <c r="D86" s="6"/>
      <c r="E86" s="6"/>
      <c r="F86" s="6"/>
      <c r="G86" s="7"/>
    </row>
    <row r="87" ht="30.0" customHeight="1">
      <c r="A87" s="9" t="s">
        <v>9</v>
      </c>
      <c r="B87" s="9" t="s">
        <v>10</v>
      </c>
      <c r="C87" s="9" t="s">
        <v>11</v>
      </c>
      <c r="D87" s="9" t="s">
        <v>12</v>
      </c>
      <c r="E87" s="9" t="s">
        <v>13</v>
      </c>
      <c r="F87" s="9" t="s">
        <v>14</v>
      </c>
      <c r="G87" s="9" t="s">
        <v>15</v>
      </c>
    </row>
    <row r="88" ht="15.75" customHeight="1">
      <c r="A88" s="10" t="s">
        <v>18</v>
      </c>
      <c r="B88" s="10" t="s">
        <v>20</v>
      </c>
      <c r="C88" s="11">
        <v>24.750000000000004</v>
      </c>
      <c r="D88" s="11">
        <v>31.59</v>
      </c>
      <c r="E88" s="11">
        <f t="shared" ref="E88:E94" si="16">IF(D88&gt;0,(C88/D88)/SUMPRODUCT($C$88:$C$94/$D$88:$D$94)*100,"")</f>
        <v>47.88680172</v>
      </c>
      <c r="F88" s="11">
        <f t="shared" ref="F88:F94" si="17">IF(E88&lt;&gt;"",E88*3,"")</f>
        <v>143.6604052</v>
      </c>
      <c r="G88" s="10" t="s">
        <v>21</v>
      </c>
    </row>
    <row r="89" ht="15.75" customHeight="1">
      <c r="A89" s="12" t="s">
        <v>16</v>
      </c>
      <c r="B89" s="12" t="s">
        <v>19</v>
      </c>
      <c r="C89" s="13">
        <v>23.223058855728308</v>
      </c>
      <c r="D89" s="13">
        <v>87.78</v>
      </c>
      <c r="E89" s="13">
        <f t="shared" si="16"/>
        <v>16.17015196</v>
      </c>
      <c r="F89" s="13">
        <f t="shared" si="17"/>
        <v>48.51045588</v>
      </c>
      <c r="G89" s="12" t="s">
        <v>21</v>
      </c>
    </row>
    <row r="90" ht="15.75" customHeight="1">
      <c r="A90" s="12" t="s">
        <v>22</v>
      </c>
      <c r="B90" s="12" t="s">
        <v>23</v>
      </c>
      <c r="C90" s="13">
        <v>14.990465680349125</v>
      </c>
      <c r="D90" s="13">
        <v>88.48</v>
      </c>
      <c r="E90" s="13">
        <f t="shared" si="16"/>
        <v>10.3552423</v>
      </c>
      <c r="F90" s="13">
        <f t="shared" si="17"/>
        <v>31.0657269</v>
      </c>
      <c r="G90" s="12" t="s">
        <v>21</v>
      </c>
    </row>
    <row r="91" ht="15.75" customHeight="1">
      <c r="A91" s="12" t="s">
        <v>22</v>
      </c>
      <c r="B91" s="12" t="s">
        <v>66</v>
      </c>
      <c r="C91" s="13">
        <v>8.157597954220549</v>
      </c>
      <c r="D91" s="13">
        <v>86.0</v>
      </c>
      <c r="E91" s="13">
        <f t="shared" si="16"/>
        <v>5.797678131</v>
      </c>
      <c r="F91" s="13">
        <f t="shared" si="17"/>
        <v>17.39303439</v>
      </c>
      <c r="G91" s="12" t="s">
        <v>21</v>
      </c>
    </row>
    <row r="92" ht="15.75" customHeight="1">
      <c r="A92" s="12" t="s">
        <v>16</v>
      </c>
      <c r="B92" s="12" t="s">
        <v>17</v>
      </c>
      <c r="C92" s="13">
        <v>25.694638363842255</v>
      </c>
      <c r="D92" s="13">
        <v>88.05</v>
      </c>
      <c r="E92" s="13">
        <f t="shared" si="16"/>
        <v>17.83624397</v>
      </c>
      <c r="F92" s="13">
        <f t="shared" si="17"/>
        <v>53.50873192</v>
      </c>
      <c r="G92" s="12" t="s">
        <v>21</v>
      </c>
    </row>
    <row r="93" ht="15.75" customHeight="1">
      <c r="A93" s="12" t="s">
        <v>24</v>
      </c>
      <c r="B93" s="12" t="s">
        <v>26</v>
      </c>
      <c r="C93" s="13">
        <v>2.18423914585977</v>
      </c>
      <c r="D93" s="13">
        <v>99.89</v>
      </c>
      <c r="E93" s="13">
        <f t="shared" si="16"/>
        <v>1.336498353</v>
      </c>
      <c r="F93" s="13">
        <f t="shared" si="17"/>
        <v>4.00949506</v>
      </c>
      <c r="G93" s="12" t="s">
        <v>21</v>
      </c>
    </row>
    <row r="94" ht="15.75" customHeight="1">
      <c r="A94" s="14" t="s">
        <v>24</v>
      </c>
      <c r="B94" s="14" t="s">
        <v>70</v>
      </c>
      <c r="C94" s="15">
        <v>1.0</v>
      </c>
      <c r="D94" s="15">
        <v>99.0</v>
      </c>
      <c r="E94" s="15">
        <f t="shared" si="16"/>
        <v>0.6173835594</v>
      </c>
      <c r="F94" s="15">
        <f t="shared" si="17"/>
        <v>1.852150678</v>
      </c>
      <c r="G94" s="14" t="s">
        <v>21</v>
      </c>
    </row>
    <row r="95" ht="15.75" customHeight="1">
      <c r="A95" s="16" t="s">
        <v>27</v>
      </c>
      <c r="B95" s="17"/>
      <c r="C95" s="18">
        <f>SUM(C88:C94)</f>
        <v>100</v>
      </c>
      <c r="D95" s="18"/>
      <c r="E95" s="18">
        <f t="shared" ref="E95:F95" si="18">SUM(E88:E94)</f>
        <v>100</v>
      </c>
      <c r="F95" s="18">
        <f t="shared" si="18"/>
        <v>300</v>
      </c>
      <c r="G95" s="16"/>
    </row>
    <row r="96" ht="15.75" customHeight="1">
      <c r="A96" s="19" t="s">
        <v>33</v>
      </c>
      <c r="B96" s="20">
        <v>18.068175895765467</v>
      </c>
      <c r="C96" s="19" t="s">
        <v>35</v>
      </c>
      <c r="D96" s="20">
        <v>73.38023810872885</v>
      </c>
      <c r="E96" s="19" t="s">
        <v>36</v>
      </c>
      <c r="F96" s="20">
        <v>33.36963127972635</v>
      </c>
      <c r="G96" s="19"/>
    </row>
    <row r="97" ht="15.75" customHeight="1">
      <c r="A97" s="19" t="s">
        <v>37</v>
      </c>
      <c r="B97" s="20">
        <v>1.0002131470443272</v>
      </c>
      <c r="C97" s="19" t="s">
        <v>38</v>
      </c>
      <c r="D97" s="20">
        <v>0.5001065735221626</v>
      </c>
      <c r="E97" s="19" t="s">
        <v>39</v>
      </c>
      <c r="F97" s="20">
        <v>2.000000000000004</v>
      </c>
      <c r="G97" s="19"/>
    </row>
    <row r="98" ht="15.75" customHeight="1">
      <c r="A98" s="19" t="s">
        <v>40</v>
      </c>
      <c r="B98" s="20">
        <v>3.172328001627722</v>
      </c>
      <c r="C98" s="19" t="s">
        <v>41</v>
      </c>
      <c r="D98" s="20">
        <v>24.750000000000004</v>
      </c>
      <c r="E98" s="19" t="s">
        <v>42</v>
      </c>
      <c r="F98" s="20">
        <v>0.0</v>
      </c>
      <c r="G98" s="19"/>
    </row>
    <row r="99" ht="15.75" customHeight="1">
      <c r="A99" s="21" t="s">
        <v>144</v>
      </c>
    </row>
    <row r="100" ht="30.0" customHeight="1">
      <c r="A100" s="26" t="s">
        <v>51</v>
      </c>
      <c r="B100" s="23"/>
      <c r="C100" s="23"/>
      <c r="D100" s="23"/>
      <c r="E100" s="23"/>
      <c r="F100" s="23"/>
      <c r="G100" s="24"/>
    </row>
    <row r="101" ht="15.75" customHeight="1"/>
    <row r="102" ht="22.5" customHeight="1">
      <c r="A102" s="4" t="s">
        <v>121</v>
      </c>
    </row>
    <row r="103" ht="15.75" customHeight="1">
      <c r="A103" s="5" t="s">
        <v>122</v>
      </c>
      <c r="B103" s="6"/>
      <c r="C103" s="6"/>
      <c r="D103" s="6"/>
      <c r="E103" s="6"/>
      <c r="F103" s="6"/>
      <c r="G103" s="7"/>
    </row>
    <row r="104" ht="30.0" customHeight="1">
      <c r="A104" s="9" t="s">
        <v>9</v>
      </c>
      <c r="B104" s="9" t="s">
        <v>10</v>
      </c>
      <c r="C104" s="9" t="s">
        <v>11</v>
      </c>
      <c r="D104" s="9" t="s">
        <v>12</v>
      </c>
      <c r="E104" s="9" t="s">
        <v>13</v>
      </c>
      <c r="F104" s="9" t="s">
        <v>14</v>
      </c>
      <c r="G104" s="9" t="s">
        <v>15</v>
      </c>
    </row>
    <row r="105" ht="15.75" customHeight="1">
      <c r="A105" s="10" t="s">
        <v>18</v>
      </c>
      <c r="B105" s="10" t="s">
        <v>20</v>
      </c>
      <c r="C105" s="11">
        <v>7.425000000000001</v>
      </c>
      <c r="D105" s="11">
        <v>31.59</v>
      </c>
      <c r="E105" s="11">
        <f t="shared" ref="E105:E110" si="19">IF(D105&gt;0,(C105/D105)/SUMPRODUCT($C$105:$C$110/$D$105:$D$110)*100,"")</f>
        <v>18.38876361</v>
      </c>
      <c r="F105" s="11">
        <f t="shared" ref="F105:F110" si="20">IF(E105&lt;&gt;"",E105*3,"")</f>
        <v>55.16629083</v>
      </c>
      <c r="G105" s="10" t="s">
        <v>21</v>
      </c>
    </row>
    <row r="106" ht="15.75" customHeight="1">
      <c r="A106" s="12" t="s">
        <v>22</v>
      </c>
      <c r="B106" s="12" t="s">
        <v>23</v>
      </c>
      <c r="C106" s="13">
        <v>0.6204797060628697</v>
      </c>
      <c r="D106" s="13">
        <v>88.48</v>
      </c>
      <c r="E106" s="13">
        <f t="shared" si="19"/>
        <v>0.5486408815</v>
      </c>
      <c r="F106" s="13">
        <f t="shared" si="20"/>
        <v>1.645922644</v>
      </c>
      <c r="G106" s="12" t="s">
        <v>21</v>
      </c>
    </row>
    <row r="107" ht="15.75" customHeight="1">
      <c r="A107" s="12" t="s">
        <v>16</v>
      </c>
      <c r="B107" s="12" t="s">
        <v>17</v>
      </c>
      <c r="C107" s="13">
        <v>85.77995873685306</v>
      </c>
      <c r="D107" s="13">
        <v>88.05</v>
      </c>
      <c r="E107" s="13">
        <f t="shared" si="19"/>
        <v>76.21881117</v>
      </c>
      <c r="F107" s="13">
        <f t="shared" si="20"/>
        <v>228.6564335</v>
      </c>
      <c r="G107" s="12" t="s">
        <v>21</v>
      </c>
    </row>
    <row r="108" ht="15.75" customHeight="1">
      <c r="A108" s="12" t="s">
        <v>24</v>
      </c>
      <c r="B108" s="12" t="s">
        <v>70</v>
      </c>
      <c r="C108" s="13">
        <v>1.0</v>
      </c>
      <c r="D108" s="13">
        <v>99.0</v>
      </c>
      <c r="E108" s="13">
        <f t="shared" si="19"/>
        <v>0.7902609155</v>
      </c>
      <c r="F108" s="13">
        <f t="shared" si="20"/>
        <v>2.370782746</v>
      </c>
      <c r="G108" s="12" t="s">
        <v>21</v>
      </c>
    </row>
    <row r="109" ht="15.75" customHeight="1">
      <c r="A109" s="12" t="s">
        <v>24</v>
      </c>
      <c r="B109" s="12" t="s">
        <v>26</v>
      </c>
      <c r="C109" s="13">
        <v>5.074561557084064</v>
      </c>
      <c r="D109" s="13">
        <v>99.89</v>
      </c>
      <c r="E109" s="13">
        <f t="shared" si="19"/>
        <v>3.974497332</v>
      </c>
      <c r="F109" s="13">
        <f t="shared" si="20"/>
        <v>11.923492</v>
      </c>
      <c r="G109" s="12" t="s">
        <v>21</v>
      </c>
    </row>
    <row r="110" ht="15.75" customHeight="1">
      <c r="A110" s="14" t="s">
        <v>22</v>
      </c>
      <c r="B110" s="14" t="s">
        <v>25</v>
      </c>
      <c r="C110" s="15">
        <v>0.1</v>
      </c>
      <c r="D110" s="15">
        <v>99.0</v>
      </c>
      <c r="E110" s="15">
        <f t="shared" si="19"/>
        <v>0.07902609155</v>
      </c>
      <c r="F110" s="15">
        <f t="shared" si="20"/>
        <v>0.2370782746</v>
      </c>
      <c r="G110" s="14" t="s">
        <v>21</v>
      </c>
    </row>
    <row r="111" ht="15.75" customHeight="1">
      <c r="A111" s="16" t="s">
        <v>27</v>
      </c>
      <c r="B111" s="17"/>
      <c r="C111" s="18">
        <f>SUM(C105:C110)</f>
        <v>100</v>
      </c>
      <c r="D111" s="18"/>
      <c r="E111" s="18">
        <f t="shared" ref="E111:F111" si="21">SUM(E105:E110)</f>
        <v>100</v>
      </c>
      <c r="F111" s="18">
        <f t="shared" si="21"/>
        <v>300</v>
      </c>
      <c r="G111" s="16"/>
    </row>
    <row r="112" ht="15.75" customHeight="1">
      <c r="A112" s="19" t="s">
        <v>33</v>
      </c>
      <c r="B112" s="20">
        <v>15.807872340425499</v>
      </c>
      <c r="C112" s="19" t="s">
        <v>35</v>
      </c>
      <c r="D112" s="20">
        <v>66.3923163254492</v>
      </c>
      <c r="E112" s="19" t="s">
        <v>36</v>
      </c>
      <c r="F112" s="20">
        <v>41.908035091542466</v>
      </c>
      <c r="G112" s="19"/>
    </row>
    <row r="113" ht="15.75" customHeight="1">
      <c r="A113" s="19" t="s">
        <v>37</v>
      </c>
      <c r="B113" s="20">
        <v>2.0826532462009264</v>
      </c>
      <c r="C113" s="19" t="s">
        <v>38</v>
      </c>
      <c r="D113" s="20">
        <v>0.8330612984803708</v>
      </c>
      <c r="E113" s="19" t="s">
        <v>39</v>
      </c>
      <c r="F113" s="20">
        <v>2.499999999999999</v>
      </c>
      <c r="G113" s="19"/>
    </row>
    <row r="114" ht="15.75" customHeight="1">
      <c r="A114" s="19" t="s">
        <v>40</v>
      </c>
      <c r="B114" s="20">
        <v>3.314183417635439</v>
      </c>
      <c r="C114" s="19" t="s">
        <v>41</v>
      </c>
      <c r="D114" s="20">
        <v>7.425000000000001</v>
      </c>
      <c r="E114" s="19" t="s">
        <v>42</v>
      </c>
      <c r="F114" s="20">
        <v>0.0</v>
      </c>
      <c r="G114" s="19"/>
    </row>
    <row r="115" ht="15.75" customHeight="1">
      <c r="A115" s="21" t="s">
        <v>179</v>
      </c>
    </row>
    <row r="116" ht="30.0" customHeight="1">
      <c r="A116" s="26" t="s">
        <v>51</v>
      </c>
      <c r="B116" s="23"/>
      <c r="C116" s="23"/>
      <c r="D116" s="23"/>
      <c r="E116" s="23"/>
      <c r="F116" s="23"/>
      <c r="G116" s="24"/>
    </row>
    <row r="117" ht="15.75" customHeight="1"/>
    <row r="118" ht="22.5" customHeight="1">
      <c r="A118" s="4" t="s">
        <v>127</v>
      </c>
    </row>
    <row r="119" ht="15.75" customHeight="1">
      <c r="A119" s="5" t="s">
        <v>8</v>
      </c>
      <c r="B119" s="6"/>
      <c r="C119" s="6"/>
      <c r="D119" s="6"/>
      <c r="E119" s="6"/>
      <c r="F119" s="6"/>
      <c r="G119" s="7"/>
    </row>
    <row r="120" ht="30.0" customHeight="1">
      <c r="A120" s="9" t="s">
        <v>9</v>
      </c>
      <c r="B120" s="9" t="s">
        <v>10</v>
      </c>
      <c r="C120" s="9" t="s">
        <v>11</v>
      </c>
      <c r="D120" s="9" t="s">
        <v>12</v>
      </c>
      <c r="E120" s="9" t="s">
        <v>13</v>
      </c>
      <c r="F120" s="9" t="s">
        <v>14</v>
      </c>
      <c r="G120" s="9" t="s">
        <v>15</v>
      </c>
    </row>
    <row r="121" ht="15.75" customHeight="1">
      <c r="A121" s="10" t="s">
        <v>18</v>
      </c>
      <c r="B121" s="10" t="s">
        <v>20</v>
      </c>
      <c r="C121" s="11">
        <v>47.5</v>
      </c>
      <c r="D121" s="11">
        <v>31.59</v>
      </c>
      <c r="E121" s="11">
        <f t="shared" ref="E121:E125" si="22">IF(D121&gt;0,(C121/D121)/SUMPRODUCT($C$121:$C$125/$D$121:$D$125)*100,"")</f>
        <v>71.69911345</v>
      </c>
      <c r="F121" s="11">
        <f t="shared" ref="F121:F125" si="23">IF(E121&lt;&gt;"",E121*3,"")</f>
        <v>215.0973404</v>
      </c>
      <c r="G121" s="10" t="s">
        <v>21</v>
      </c>
    </row>
    <row r="122" ht="15.75" customHeight="1">
      <c r="A122" s="12" t="s">
        <v>16</v>
      </c>
      <c r="B122" s="12" t="s">
        <v>19</v>
      </c>
      <c r="C122" s="13">
        <v>30.654957229387055</v>
      </c>
      <c r="D122" s="13">
        <v>87.78</v>
      </c>
      <c r="E122" s="13">
        <f t="shared" si="22"/>
        <v>16.65232736</v>
      </c>
      <c r="F122" s="13">
        <f t="shared" si="23"/>
        <v>49.95698209</v>
      </c>
      <c r="G122" s="12" t="s">
        <v>21</v>
      </c>
    </row>
    <row r="123" ht="15.75" customHeight="1">
      <c r="A123" s="12" t="s">
        <v>22</v>
      </c>
      <c r="B123" s="12" t="s">
        <v>23</v>
      </c>
      <c r="C123" s="13">
        <v>19.758034411391456</v>
      </c>
      <c r="D123" s="13">
        <v>88.48</v>
      </c>
      <c r="E123" s="13">
        <f t="shared" si="22"/>
        <v>10.64800939</v>
      </c>
      <c r="F123" s="13">
        <f t="shared" si="23"/>
        <v>31.94402817</v>
      </c>
      <c r="G123" s="12" t="s">
        <v>21</v>
      </c>
    </row>
    <row r="124" ht="15.75" customHeight="1">
      <c r="A124" s="12" t="s">
        <v>24</v>
      </c>
      <c r="B124" s="12" t="s">
        <v>26</v>
      </c>
      <c r="C124" s="13">
        <v>1.0870083592214994</v>
      </c>
      <c r="D124" s="13">
        <v>99.89</v>
      </c>
      <c r="E124" s="13">
        <f t="shared" si="22"/>
        <v>0.518896418</v>
      </c>
      <c r="F124" s="13">
        <f t="shared" si="23"/>
        <v>1.556689254</v>
      </c>
      <c r="G124" s="12" t="s">
        <v>21</v>
      </c>
    </row>
    <row r="125" ht="15.75" customHeight="1">
      <c r="A125" s="14" t="s">
        <v>22</v>
      </c>
      <c r="B125" s="14" t="s">
        <v>25</v>
      </c>
      <c r="C125" s="15">
        <v>1.0</v>
      </c>
      <c r="D125" s="15">
        <v>99.0</v>
      </c>
      <c r="E125" s="15">
        <f t="shared" si="22"/>
        <v>0.4816533746</v>
      </c>
      <c r="F125" s="15">
        <f t="shared" si="23"/>
        <v>1.444960124</v>
      </c>
      <c r="G125" s="14" t="s">
        <v>21</v>
      </c>
    </row>
    <row r="126" ht="15.75" customHeight="1">
      <c r="A126" s="16" t="s">
        <v>27</v>
      </c>
      <c r="B126" s="17"/>
      <c r="C126" s="18">
        <f>SUM(C121:C125)</f>
        <v>100</v>
      </c>
      <c r="D126" s="18"/>
      <c r="E126" s="18">
        <f t="shared" ref="E126:F126" si="24">SUM(E121:E125)</f>
        <v>100</v>
      </c>
      <c r="F126" s="18">
        <f t="shared" si="24"/>
        <v>300</v>
      </c>
      <c r="G126" s="16"/>
    </row>
    <row r="127" ht="15.75" customHeight="1">
      <c r="A127" s="19" t="s">
        <v>33</v>
      </c>
      <c r="B127" s="20">
        <v>18.676868686868698</v>
      </c>
      <c r="C127" s="19" t="s">
        <v>35</v>
      </c>
      <c r="D127" s="20">
        <v>72.309870884758</v>
      </c>
      <c r="E127" s="19" t="s">
        <v>36</v>
      </c>
      <c r="F127" s="20">
        <v>33.70130823433966</v>
      </c>
      <c r="G127" s="19"/>
    </row>
    <row r="128" ht="15.75" customHeight="1">
      <c r="A128" s="19" t="s">
        <v>37</v>
      </c>
      <c r="B128" s="20">
        <v>0.6228956228956378</v>
      </c>
      <c r="C128" s="19" t="s">
        <v>38</v>
      </c>
      <c r="D128" s="20">
        <v>0.27961689005432105</v>
      </c>
      <c r="E128" s="19" t="s">
        <v>39</v>
      </c>
      <c r="F128" s="20">
        <v>2.2276752408433844</v>
      </c>
      <c r="G128" s="19"/>
    </row>
    <row r="129" ht="15.75" customHeight="1">
      <c r="A129" s="19" t="s">
        <v>40</v>
      </c>
      <c r="B129" s="20">
        <v>3.1138928143877287</v>
      </c>
      <c r="C129" s="19" t="s">
        <v>41</v>
      </c>
      <c r="D129" s="20">
        <v>47.5</v>
      </c>
      <c r="E129" s="19" t="s">
        <v>42</v>
      </c>
      <c r="F129" s="20">
        <v>1.0</v>
      </c>
      <c r="G129" s="19"/>
    </row>
    <row r="130" ht="15.75" customHeight="1">
      <c r="A130" s="21" t="s">
        <v>187</v>
      </c>
    </row>
    <row r="131" ht="30.0" customHeight="1">
      <c r="A131" s="22" t="s">
        <v>188</v>
      </c>
      <c r="B131" s="23"/>
      <c r="C131" s="23"/>
      <c r="D131" s="23"/>
      <c r="E131" s="23"/>
      <c r="F131" s="23"/>
      <c r="G131" s="24"/>
    </row>
    <row r="132" ht="15.75" customHeight="1"/>
    <row r="133" ht="22.5" customHeight="1">
      <c r="A133" s="4" t="s">
        <v>135</v>
      </c>
    </row>
    <row r="134" ht="15.75" customHeight="1">
      <c r="A134" s="5" t="s">
        <v>8</v>
      </c>
      <c r="B134" s="6"/>
      <c r="C134" s="6"/>
      <c r="D134" s="6"/>
      <c r="E134" s="6"/>
      <c r="F134" s="6"/>
      <c r="G134" s="7"/>
    </row>
    <row r="135" ht="30.0" customHeight="1">
      <c r="A135" s="9" t="s">
        <v>9</v>
      </c>
      <c r="B135" s="9" t="s">
        <v>10</v>
      </c>
      <c r="C135" s="9" t="s">
        <v>11</v>
      </c>
      <c r="D135" s="9" t="s">
        <v>12</v>
      </c>
      <c r="E135" s="9" t="s">
        <v>13</v>
      </c>
      <c r="F135" s="9" t="s">
        <v>14</v>
      </c>
      <c r="G135" s="9" t="s">
        <v>15</v>
      </c>
    </row>
    <row r="136" ht="15.75" customHeight="1">
      <c r="A136" s="10" t="s">
        <v>18</v>
      </c>
      <c r="B136" s="10" t="s">
        <v>20</v>
      </c>
      <c r="C136" s="11">
        <v>47.5</v>
      </c>
      <c r="D136" s="11">
        <v>31.59</v>
      </c>
      <c r="E136" s="11">
        <f t="shared" ref="E136:E139" si="25">IF(D136&gt;0,(C136/D136)/SUMPRODUCT($C$136:$C$139/$D$136:$D$139)*100,"")</f>
        <v>71.67336359</v>
      </c>
      <c r="F136" s="11">
        <f t="shared" ref="F136:F139" si="26">IF(E136&lt;&gt;"",E136*3,"")</f>
        <v>215.0200908</v>
      </c>
      <c r="G136" s="10" t="s">
        <v>21</v>
      </c>
    </row>
    <row r="137" ht="15.75" customHeight="1">
      <c r="A137" s="12" t="s">
        <v>16</v>
      </c>
      <c r="B137" s="12" t="s">
        <v>19</v>
      </c>
      <c r="C137" s="13">
        <v>24.892766375774457</v>
      </c>
      <c r="D137" s="13">
        <v>87.78</v>
      </c>
      <c r="E137" s="13">
        <f t="shared" si="25"/>
        <v>13.51734471</v>
      </c>
      <c r="F137" s="13">
        <f t="shared" si="26"/>
        <v>40.55203414</v>
      </c>
      <c r="G137" s="12" t="s">
        <v>21</v>
      </c>
    </row>
    <row r="138" ht="15.75" customHeight="1">
      <c r="A138" s="12" t="s">
        <v>22</v>
      </c>
      <c r="B138" s="12" t="s">
        <v>23</v>
      </c>
      <c r="C138" s="13">
        <v>26.575834591208412</v>
      </c>
      <c r="D138" s="13">
        <v>88.48</v>
      </c>
      <c r="E138" s="13">
        <f t="shared" si="25"/>
        <v>14.31711787</v>
      </c>
      <c r="F138" s="13">
        <f t="shared" si="26"/>
        <v>42.95135362</v>
      </c>
      <c r="G138" s="12" t="s">
        <v>21</v>
      </c>
    </row>
    <row r="139" ht="15.75" customHeight="1">
      <c r="A139" s="14" t="s">
        <v>24</v>
      </c>
      <c r="B139" s="14" t="s">
        <v>26</v>
      </c>
      <c r="C139" s="15">
        <v>1.0313990330171279</v>
      </c>
      <c r="D139" s="15">
        <v>99.89</v>
      </c>
      <c r="E139" s="15">
        <f t="shared" si="25"/>
        <v>0.4921738205</v>
      </c>
      <c r="F139" s="15">
        <f t="shared" si="26"/>
        <v>1.476521462</v>
      </c>
      <c r="G139" s="14" t="s">
        <v>21</v>
      </c>
    </row>
    <row r="140" ht="15.75" customHeight="1">
      <c r="A140" s="16" t="s">
        <v>27</v>
      </c>
      <c r="B140" s="17"/>
      <c r="C140" s="18">
        <f>SUM(C136:C139)</f>
        <v>100</v>
      </c>
      <c r="D140" s="18"/>
      <c r="E140" s="18">
        <f t="shared" ref="E140:F140" si="27">SUM(E136:E139)</f>
        <v>100</v>
      </c>
      <c r="F140" s="18">
        <f t="shared" si="27"/>
        <v>300</v>
      </c>
      <c r="G140" s="16"/>
    </row>
    <row r="141" ht="15.75" customHeight="1">
      <c r="A141" s="19" t="s">
        <v>33</v>
      </c>
      <c r="B141" s="20">
        <v>18.676868686868698</v>
      </c>
      <c r="C141" s="19" t="s">
        <v>35</v>
      </c>
      <c r="D141" s="20">
        <v>72.85666817856132</v>
      </c>
      <c r="E141" s="19" t="s">
        <v>36</v>
      </c>
      <c r="F141" s="20">
        <v>33.920024858142675</v>
      </c>
      <c r="G141" s="19"/>
    </row>
    <row r="142" ht="15.75" customHeight="1">
      <c r="A142" s="19" t="s">
        <v>37</v>
      </c>
      <c r="B142" s="20">
        <v>0.6228956228956173</v>
      </c>
      <c r="C142" s="19" t="s">
        <v>38</v>
      </c>
      <c r="D142" s="20">
        <v>0.3040673130126258</v>
      </c>
      <c r="E142" s="19" t="s">
        <v>39</v>
      </c>
      <c r="F142" s="20">
        <v>2.0485451616752792</v>
      </c>
      <c r="G142" s="19"/>
    </row>
    <row r="143" ht="15.75" customHeight="1">
      <c r="A143" s="19" t="s">
        <v>40</v>
      </c>
      <c r="B143" s="20">
        <v>2.992344739853519</v>
      </c>
      <c r="C143" s="19" t="s">
        <v>41</v>
      </c>
      <c r="D143" s="20">
        <v>47.5</v>
      </c>
      <c r="E143" s="19" t="s">
        <v>42</v>
      </c>
      <c r="F143" s="20">
        <v>1.0</v>
      </c>
      <c r="G143" s="19"/>
    </row>
    <row r="144" ht="15.75" customHeight="1">
      <c r="A144" s="21" t="s">
        <v>197</v>
      </c>
    </row>
    <row r="145" ht="30.0" customHeight="1">
      <c r="A145" s="22" t="s">
        <v>198</v>
      </c>
      <c r="B145" s="23"/>
      <c r="C145" s="23"/>
      <c r="D145" s="23"/>
      <c r="E145" s="23"/>
      <c r="F145" s="23"/>
      <c r="G145" s="24"/>
    </row>
    <row r="146" ht="15.75" customHeight="1"/>
    <row r="147" ht="22.5" customHeight="1">
      <c r="A147" s="4" t="s">
        <v>139</v>
      </c>
    </row>
    <row r="148" ht="15.75" customHeight="1">
      <c r="A148" s="5" t="s">
        <v>8</v>
      </c>
      <c r="B148" s="6"/>
      <c r="C148" s="6"/>
      <c r="D148" s="6"/>
      <c r="E148" s="6"/>
      <c r="F148" s="6"/>
      <c r="G148" s="7"/>
    </row>
    <row r="149" ht="30.0" customHeight="1">
      <c r="A149" s="9" t="s">
        <v>9</v>
      </c>
      <c r="B149" s="9" t="s">
        <v>10</v>
      </c>
      <c r="C149" s="9" t="s">
        <v>11</v>
      </c>
      <c r="D149" s="9" t="s">
        <v>12</v>
      </c>
      <c r="E149" s="9" t="s">
        <v>13</v>
      </c>
      <c r="F149" s="9" t="s">
        <v>14</v>
      </c>
      <c r="G149" s="9" t="s">
        <v>15</v>
      </c>
    </row>
    <row r="150" ht="15.75" customHeight="1">
      <c r="A150" s="10" t="s">
        <v>18</v>
      </c>
      <c r="B150" s="10" t="s">
        <v>20</v>
      </c>
      <c r="C150" s="11">
        <v>47.5</v>
      </c>
      <c r="D150" s="11">
        <v>31.59</v>
      </c>
      <c r="E150" s="11">
        <f t="shared" ref="E150:E153" si="28">IF(D150&gt;0,(C150/D150)/SUMPRODUCT($C$150:$C$153/$D$150:$D$153)*100,"")</f>
        <v>71.67338487</v>
      </c>
      <c r="F150" s="11">
        <f t="shared" ref="F150:F153" si="29">IF(E150&lt;&gt;"",E150*3,"")</f>
        <v>215.0201546</v>
      </c>
      <c r="G150" s="10" t="s">
        <v>21</v>
      </c>
    </row>
    <row r="151" ht="15.75" customHeight="1">
      <c r="A151" s="12" t="s">
        <v>16</v>
      </c>
      <c r="B151" s="12" t="s">
        <v>19</v>
      </c>
      <c r="C151" s="13">
        <v>24.884948868942242</v>
      </c>
      <c r="D151" s="13">
        <v>87.78</v>
      </c>
      <c r="E151" s="13">
        <f t="shared" si="28"/>
        <v>13.51310364</v>
      </c>
      <c r="F151" s="13">
        <f t="shared" si="29"/>
        <v>40.53931092</v>
      </c>
      <c r="G151" s="12" t="s">
        <v>21</v>
      </c>
    </row>
    <row r="152" ht="15.75" customHeight="1">
      <c r="A152" s="12" t="s">
        <v>22</v>
      </c>
      <c r="B152" s="12" t="s">
        <v>23</v>
      </c>
      <c r="C152" s="13">
        <v>26.583715448987387</v>
      </c>
      <c r="D152" s="13">
        <v>88.48</v>
      </c>
      <c r="E152" s="13">
        <f t="shared" si="28"/>
        <v>14.32136776</v>
      </c>
      <c r="F152" s="13">
        <f t="shared" si="29"/>
        <v>42.96410327</v>
      </c>
      <c r="G152" s="12" t="s">
        <v>21</v>
      </c>
    </row>
    <row r="153" ht="15.75" customHeight="1">
      <c r="A153" s="14" t="s">
        <v>24</v>
      </c>
      <c r="B153" s="14" t="s">
        <v>26</v>
      </c>
      <c r="C153" s="15">
        <v>1.0313356820703727</v>
      </c>
      <c r="D153" s="15">
        <v>99.89</v>
      </c>
      <c r="E153" s="15">
        <f t="shared" si="28"/>
        <v>0.4921437362</v>
      </c>
      <c r="F153" s="15">
        <f t="shared" si="29"/>
        <v>1.476431209</v>
      </c>
      <c r="G153" s="14" t="s">
        <v>21</v>
      </c>
    </row>
    <row r="154" ht="15.75" customHeight="1">
      <c r="A154" s="16" t="s">
        <v>27</v>
      </c>
      <c r="B154" s="17"/>
      <c r="C154" s="18">
        <f>SUM(C150:C153)</f>
        <v>100</v>
      </c>
      <c r="D154" s="18"/>
      <c r="E154" s="18">
        <f t="shared" ref="E154:F154" si="30">SUM(E150:E153)</f>
        <v>100</v>
      </c>
      <c r="F154" s="18">
        <f t="shared" si="30"/>
        <v>300</v>
      </c>
      <c r="G154" s="16"/>
    </row>
    <row r="155" ht="15.75" customHeight="1">
      <c r="A155" s="19" t="s">
        <v>33</v>
      </c>
      <c r="B155" s="20">
        <v>18.679999999999993</v>
      </c>
      <c r="C155" s="19" t="s">
        <v>35</v>
      </c>
      <c r="D155" s="20">
        <v>72.85630499391853</v>
      </c>
      <c r="E155" s="19" t="s">
        <v>36</v>
      </c>
      <c r="F155" s="20">
        <v>33.92011120675015</v>
      </c>
      <c r="G155" s="19"/>
    </row>
    <row r="156" ht="15.75" customHeight="1">
      <c r="A156" s="19" t="s">
        <v>37</v>
      </c>
      <c r="B156" s="20">
        <v>0.6228956228956253</v>
      </c>
      <c r="C156" s="19" t="s">
        <v>38</v>
      </c>
      <c r="D156" s="20">
        <v>0.30409268379979076</v>
      </c>
      <c r="E156" s="19" t="s">
        <v>39</v>
      </c>
      <c r="F156" s="20">
        <v>2.0483742492987065</v>
      </c>
      <c r="G156" s="19"/>
    </row>
    <row r="157" ht="15.75" customHeight="1">
      <c r="A157" s="19" t="s">
        <v>40</v>
      </c>
      <c r="B157" s="20">
        <v>2.992155883079065</v>
      </c>
      <c r="C157" s="19" t="s">
        <v>41</v>
      </c>
      <c r="D157" s="20">
        <v>47.5</v>
      </c>
      <c r="E157" s="19" t="s">
        <v>42</v>
      </c>
      <c r="F157" s="20">
        <v>1.0</v>
      </c>
      <c r="G157" s="19"/>
    </row>
    <row r="158" ht="15.75" customHeight="1">
      <c r="A158" s="21" t="s">
        <v>197</v>
      </c>
    </row>
    <row r="159" ht="30.0" customHeight="1">
      <c r="A159" s="22" t="s">
        <v>204</v>
      </c>
      <c r="B159" s="23"/>
      <c r="C159" s="23"/>
      <c r="D159" s="23"/>
      <c r="E159" s="23"/>
      <c r="F159" s="23"/>
      <c r="G159" s="24"/>
    </row>
    <row r="160" ht="15.75" customHeight="1"/>
    <row r="161" ht="22.5" customHeight="1">
      <c r="A161" s="4" t="s">
        <v>149</v>
      </c>
    </row>
    <row r="162" ht="15.75" customHeight="1">
      <c r="A162" s="5" t="s">
        <v>151</v>
      </c>
      <c r="B162" s="6"/>
      <c r="C162" s="6"/>
      <c r="D162" s="6"/>
      <c r="E162" s="6"/>
      <c r="F162" s="6"/>
      <c r="G162" s="7"/>
    </row>
    <row r="163" ht="30.0" customHeight="1">
      <c r="A163" s="9" t="s">
        <v>9</v>
      </c>
      <c r="B163" s="9" t="s">
        <v>10</v>
      </c>
      <c r="C163" s="9" t="s">
        <v>11</v>
      </c>
      <c r="D163" s="9" t="s">
        <v>12</v>
      </c>
      <c r="E163" s="9" t="s">
        <v>13</v>
      </c>
      <c r="F163" s="9" t="s">
        <v>14</v>
      </c>
      <c r="G163" s="9" t="s">
        <v>15</v>
      </c>
    </row>
    <row r="164" ht="15.75" customHeight="1">
      <c r="A164" s="10" t="s">
        <v>18</v>
      </c>
      <c r="B164" s="10" t="s">
        <v>20</v>
      </c>
      <c r="C164" s="11">
        <v>47.025</v>
      </c>
      <c r="D164" s="11">
        <v>31.59</v>
      </c>
      <c r="E164" s="11">
        <f t="shared" ref="E164:E168" si="31">IF(D164&gt;0,(C164/D164)/SUMPRODUCT($C$164:$C$168/$D$164:$D$168)*100,"")</f>
        <v>71.32863043</v>
      </c>
      <c r="F164" s="11">
        <f t="shared" ref="F164:F168" si="32">IF(E164&lt;&gt;"",E164*3,"")</f>
        <v>213.9858913</v>
      </c>
      <c r="G164" s="10" t="s">
        <v>21</v>
      </c>
    </row>
    <row r="165" ht="15.75" customHeight="1">
      <c r="A165" s="12" t="s">
        <v>16</v>
      </c>
      <c r="B165" s="12" t="s">
        <v>19</v>
      </c>
      <c r="C165" s="13">
        <v>24.14925966297736</v>
      </c>
      <c r="D165" s="13">
        <v>87.78</v>
      </c>
      <c r="E165" s="13">
        <f t="shared" si="31"/>
        <v>13.18235344</v>
      </c>
      <c r="F165" s="13">
        <f t="shared" si="32"/>
        <v>39.54706033</v>
      </c>
      <c r="G165" s="12" t="s">
        <v>21</v>
      </c>
    </row>
    <row r="166" ht="15.75" customHeight="1">
      <c r="A166" s="12" t="s">
        <v>22</v>
      </c>
      <c r="B166" s="12" t="s">
        <v>23</v>
      </c>
      <c r="C166" s="13">
        <v>26.791837306540287</v>
      </c>
      <c r="D166" s="13">
        <v>88.48</v>
      </c>
      <c r="E166" s="13">
        <f t="shared" si="31"/>
        <v>14.509154</v>
      </c>
      <c r="F166" s="13">
        <f t="shared" si="32"/>
        <v>43.527462</v>
      </c>
      <c r="G166" s="12" t="s">
        <v>21</v>
      </c>
    </row>
    <row r="167" ht="15.75" customHeight="1">
      <c r="A167" s="12" t="s">
        <v>24</v>
      </c>
      <c r="B167" s="12" t="s">
        <v>26</v>
      </c>
      <c r="C167" s="13">
        <v>1.0339030304823427</v>
      </c>
      <c r="D167" s="13">
        <v>99.89</v>
      </c>
      <c r="E167" s="13">
        <f t="shared" si="31"/>
        <v>0.4959552617</v>
      </c>
      <c r="F167" s="13">
        <f t="shared" si="32"/>
        <v>1.487865785</v>
      </c>
      <c r="G167" s="12" t="s">
        <v>21</v>
      </c>
    </row>
    <row r="168" ht="15.75" customHeight="1">
      <c r="A168" s="14" t="s">
        <v>164</v>
      </c>
      <c r="B168" s="14" t="s">
        <v>165</v>
      </c>
      <c r="C168" s="15">
        <v>1.0</v>
      </c>
      <c r="D168" s="15">
        <v>99.02</v>
      </c>
      <c r="E168" s="15">
        <f t="shared" si="31"/>
        <v>0.4839068668</v>
      </c>
      <c r="F168" s="15">
        <f t="shared" si="32"/>
        <v>1.4517206</v>
      </c>
      <c r="G168" s="14" t="s">
        <v>31</v>
      </c>
    </row>
    <row r="169" ht="15.75" customHeight="1">
      <c r="A169" s="16" t="s">
        <v>27</v>
      </c>
      <c r="B169" s="17"/>
      <c r="C169" s="18">
        <f>SUM(C164:C168)</f>
        <v>100</v>
      </c>
      <c r="D169" s="18"/>
      <c r="E169" s="18">
        <f t="shared" ref="E169:F169" si="33">SUM(E164:E168)</f>
        <v>100</v>
      </c>
      <c r="F169" s="18">
        <f t="shared" si="33"/>
        <v>300</v>
      </c>
      <c r="G169" s="16"/>
    </row>
    <row r="170" ht="15.75" customHeight="1">
      <c r="A170" s="19" t="s">
        <v>33</v>
      </c>
      <c r="B170" s="20">
        <v>18.679999999999982</v>
      </c>
      <c r="C170" s="19" t="s">
        <v>35</v>
      </c>
      <c r="D170" s="20">
        <v>72.0915408456294</v>
      </c>
      <c r="E170" s="19" t="s">
        <v>36</v>
      </c>
      <c r="F170" s="20">
        <v>33.58370135951769</v>
      </c>
      <c r="G170" s="19"/>
    </row>
    <row r="171" ht="15.75" customHeight="1">
      <c r="A171" s="19" t="s">
        <v>37</v>
      </c>
      <c r="B171" s="20">
        <v>0.622895622895631</v>
      </c>
      <c r="C171" s="19" t="s">
        <v>38</v>
      </c>
      <c r="D171" s="20">
        <v>0.3025375121077713</v>
      </c>
      <c r="E171" s="19" t="s">
        <v>39</v>
      </c>
      <c r="F171" s="20">
        <v>2.0589037655394624</v>
      </c>
      <c r="G171" s="19"/>
    </row>
    <row r="172" ht="15.75" customHeight="1">
      <c r="A172" s="19" t="s">
        <v>40</v>
      </c>
      <c r="B172" s="20">
        <v>2.9501787067769083</v>
      </c>
      <c r="C172" s="19" t="s">
        <v>41</v>
      </c>
      <c r="D172" s="20">
        <v>47.025</v>
      </c>
      <c r="E172" s="19" t="s">
        <v>42</v>
      </c>
      <c r="F172" s="20">
        <v>1.0</v>
      </c>
      <c r="G172" s="19"/>
    </row>
    <row r="173" ht="15.75" customHeight="1">
      <c r="A173" s="21" t="s">
        <v>212</v>
      </c>
    </row>
    <row r="174" ht="30.0" customHeight="1">
      <c r="A174" s="22" t="s">
        <v>213</v>
      </c>
      <c r="B174" s="23"/>
      <c r="C174" s="23"/>
      <c r="D174" s="23"/>
      <c r="E174" s="23"/>
      <c r="F174" s="23"/>
      <c r="G174" s="24"/>
    </row>
    <row r="175" ht="15.75" customHeight="1"/>
    <row r="176" ht="22.5" customHeight="1">
      <c r="A176" s="4" t="s">
        <v>180</v>
      </c>
    </row>
    <row r="177" ht="15.75" customHeight="1">
      <c r="A177" s="5" t="s">
        <v>181</v>
      </c>
      <c r="B177" s="6"/>
      <c r="C177" s="6"/>
      <c r="D177" s="6"/>
      <c r="E177" s="6"/>
      <c r="F177" s="6"/>
      <c r="G177" s="7"/>
    </row>
    <row r="178" ht="30.0" customHeight="1">
      <c r="A178" s="9" t="s">
        <v>9</v>
      </c>
      <c r="B178" s="9" t="s">
        <v>10</v>
      </c>
      <c r="C178" s="9" t="s">
        <v>11</v>
      </c>
      <c r="D178" s="9" t="s">
        <v>12</v>
      </c>
      <c r="E178" s="9" t="s">
        <v>13</v>
      </c>
      <c r="F178" s="9" t="s">
        <v>14</v>
      </c>
      <c r="G178" s="9" t="s">
        <v>15</v>
      </c>
    </row>
    <row r="179" ht="15.75" customHeight="1">
      <c r="A179" s="10" t="s">
        <v>18</v>
      </c>
      <c r="B179" s="10" t="s">
        <v>20</v>
      </c>
      <c r="C179" s="11">
        <v>44.55</v>
      </c>
      <c r="D179" s="11">
        <v>31.59</v>
      </c>
      <c r="E179" s="11">
        <f t="shared" ref="E179:E185" si="34">IF(D179&gt;0,(C179/D179)/SUMPRODUCT($C$179:$C$185/$D$179:$D$185)*100,"")</f>
        <v>69.39899669</v>
      </c>
      <c r="F179" s="11">
        <f t="shared" ref="F179:F185" si="35">IF(E179&lt;&gt;"",E179*3,"")</f>
        <v>208.1969901</v>
      </c>
      <c r="G179" s="10" t="s">
        <v>21</v>
      </c>
    </row>
    <row r="180" ht="15.75" customHeight="1">
      <c r="A180" s="12" t="s">
        <v>16</v>
      </c>
      <c r="B180" s="12" t="s">
        <v>19</v>
      </c>
      <c r="C180" s="13">
        <v>15.530044150229259</v>
      </c>
      <c r="D180" s="13">
        <v>87.78</v>
      </c>
      <c r="E180" s="13">
        <f t="shared" si="34"/>
        <v>8.706271841</v>
      </c>
      <c r="F180" s="13">
        <f t="shared" si="35"/>
        <v>26.11881552</v>
      </c>
      <c r="G180" s="12" t="s">
        <v>21</v>
      </c>
    </row>
    <row r="181" ht="15.75" customHeight="1">
      <c r="A181" s="12" t="s">
        <v>16</v>
      </c>
      <c r="B181" s="12" t="s">
        <v>52</v>
      </c>
      <c r="C181" s="13">
        <v>15.87779813283948</v>
      </c>
      <c r="D181" s="13">
        <v>90.57</v>
      </c>
      <c r="E181" s="13">
        <f t="shared" si="34"/>
        <v>8.627024229</v>
      </c>
      <c r="F181" s="13">
        <f t="shared" si="35"/>
        <v>25.88107269</v>
      </c>
      <c r="G181" s="12" t="s">
        <v>21</v>
      </c>
    </row>
    <row r="182" ht="15.75" customHeight="1">
      <c r="A182" s="12" t="s">
        <v>16</v>
      </c>
      <c r="B182" s="12" t="s">
        <v>17</v>
      </c>
      <c r="C182" s="13">
        <v>15.993326461500931</v>
      </c>
      <c r="D182" s="13">
        <v>88.05</v>
      </c>
      <c r="E182" s="13">
        <f t="shared" si="34"/>
        <v>8.938498085</v>
      </c>
      <c r="F182" s="13">
        <f t="shared" si="35"/>
        <v>26.81549425</v>
      </c>
      <c r="G182" s="12" t="s">
        <v>21</v>
      </c>
    </row>
    <row r="183" ht="15.75" customHeight="1">
      <c r="A183" s="12" t="s">
        <v>22</v>
      </c>
      <c r="B183" s="12" t="s">
        <v>23</v>
      </c>
      <c r="C183" s="13">
        <v>5.659958490553785</v>
      </c>
      <c r="D183" s="13">
        <v>88.48</v>
      </c>
      <c r="E183" s="13">
        <f t="shared" si="34"/>
        <v>3.147916773</v>
      </c>
      <c r="F183" s="13">
        <f t="shared" si="35"/>
        <v>9.443750318</v>
      </c>
      <c r="G183" s="12" t="s">
        <v>21</v>
      </c>
    </row>
    <row r="184" ht="15.75" customHeight="1">
      <c r="A184" s="12" t="s">
        <v>24</v>
      </c>
      <c r="B184" s="12" t="s">
        <v>26</v>
      </c>
      <c r="C184" s="13">
        <v>1.3888727648765435</v>
      </c>
      <c r="D184" s="13">
        <v>99.89</v>
      </c>
      <c r="E184" s="13">
        <f t="shared" si="34"/>
        <v>0.6842196744</v>
      </c>
      <c r="F184" s="13">
        <f t="shared" si="35"/>
        <v>2.052659023</v>
      </c>
      <c r="G184" s="12" t="s">
        <v>21</v>
      </c>
    </row>
    <row r="185" ht="15.75" customHeight="1">
      <c r="A185" s="14" t="s">
        <v>24</v>
      </c>
      <c r="B185" s="14" t="s">
        <v>70</v>
      </c>
      <c r="C185" s="15">
        <v>1.0</v>
      </c>
      <c r="D185" s="15">
        <v>99.0</v>
      </c>
      <c r="E185" s="15">
        <f t="shared" si="34"/>
        <v>0.4970727036</v>
      </c>
      <c r="F185" s="15">
        <f t="shared" si="35"/>
        <v>1.491218111</v>
      </c>
      <c r="G185" s="14" t="s">
        <v>21</v>
      </c>
    </row>
    <row r="186" ht="15.75" customHeight="1">
      <c r="A186" s="16" t="s">
        <v>27</v>
      </c>
      <c r="B186" s="17"/>
      <c r="C186" s="18">
        <f>SUM(C179:C185)</f>
        <v>100</v>
      </c>
      <c r="D186" s="18"/>
      <c r="E186" s="18">
        <f t="shared" ref="E186:F186" si="36">SUM(E179:E185)</f>
        <v>100</v>
      </c>
      <c r="F186" s="18">
        <f t="shared" si="36"/>
        <v>300</v>
      </c>
      <c r="G186" s="16"/>
    </row>
    <row r="187" ht="15.75" customHeight="1">
      <c r="A187" s="19" t="s">
        <v>33</v>
      </c>
      <c r="B187" s="20">
        <v>12.406107382550337</v>
      </c>
      <c r="C187" s="19" t="s">
        <v>35</v>
      </c>
      <c r="D187" s="20">
        <v>69.41189021729564</v>
      </c>
      <c r="E187" s="19" t="s">
        <v>36</v>
      </c>
      <c r="F187" s="20">
        <v>39.15472258867517</v>
      </c>
      <c r="G187" s="19"/>
    </row>
    <row r="188" ht="15.75" customHeight="1">
      <c r="A188" s="19" t="s">
        <v>37</v>
      </c>
      <c r="B188" s="20">
        <v>0.7267593117948284</v>
      </c>
      <c r="C188" s="19" t="s">
        <v>38</v>
      </c>
      <c r="D188" s="20">
        <v>0.3633796558974144</v>
      </c>
      <c r="E188" s="19" t="s">
        <v>39</v>
      </c>
      <c r="F188" s="20">
        <v>1.9999999999999991</v>
      </c>
      <c r="G188" s="19"/>
    </row>
    <row r="189" ht="15.75" customHeight="1">
      <c r="A189" s="19" t="s">
        <v>40</v>
      </c>
      <c r="B189" s="20">
        <v>3.529712250600672</v>
      </c>
      <c r="C189" s="19" t="s">
        <v>41</v>
      </c>
      <c r="D189" s="20">
        <v>44.55</v>
      </c>
      <c r="E189" s="19" t="s">
        <v>42</v>
      </c>
      <c r="F189" s="20">
        <v>0.0</v>
      </c>
      <c r="G189" s="19"/>
    </row>
    <row r="190" ht="15.75" customHeight="1">
      <c r="A190" s="25" t="s">
        <v>220</v>
      </c>
    </row>
    <row r="191" ht="30.0" customHeight="1">
      <c r="A191" s="26" t="s">
        <v>51</v>
      </c>
      <c r="B191" s="23"/>
      <c r="C191" s="23"/>
      <c r="D191" s="23"/>
      <c r="E191" s="23"/>
      <c r="F191" s="23"/>
      <c r="G191" s="24"/>
    </row>
    <row r="192" ht="15.75" customHeight="1"/>
    <row r="193" ht="22.5" customHeight="1">
      <c r="A193" s="4" t="s">
        <v>190</v>
      </c>
    </row>
    <row r="194" ht="15.75" customHeight="1">
      <c r="A194" s="5" t="s">
        <v>8</v>
      </c>
      <c r="B194" s="6"/>
      <c r="C194" s="6"/>
      <c r="D194" s="6"/>
      <c r="E194" s="6"/>
      <c r="F194" s="6"/>
      <c r="G194" s="7"/>
    </row>
    <row r="195" ht="30.0" customHeight="1">
      <c r="A195" s="9" t="s">
        <v>9</v>
      </c>
      <c r="B195" s="9" t="s">
        <v>10</v>
      </c>
      <c r="C195" s="9" t="s">
        <v>11</v>
      </c>
      <c r="D195" s="9" t="s">
        <v>12</v>
      </c>
      <c r="E195" s="9" t="s">
        <v>13</v>
      </c>
      <c r="F195" s="9" t="s">
        <v>14</v>
      </c>
      <c r="G195" s="9" t="s">
        <v>15</v>
      </c>
    </row>
    <row r="196" ht="15.75" customHeight="1">
      <c r="A196" s="10" t="s">
        <v>18</v>
      </c>
      <c r="B196" s="10" t="s">
        <v>20</v>
      </c>
      <c r="C196" s="11">
        <v>47.5</v>
      </c>
      <c r="D196" s="11">
        <v>31.59</v>
      </c>
      <c r="E196" s="11">
        <f t="shared" ref="E196:E200" si="37">IF(D196&gt;0,(C196/D196)/SUMPRODUCT($C$196:$C$200/$D$196:$D$200)*100,"")</f>
        <v>71.69669968</v>
      </c>
      <c r="F196" s="11">
        <f t="shared" ref="F196:F200" si="38">IF(E196&lt;&gt;"",E196*3,"")</f>
        <v>215.090099</v>
      </c>
      <c r="G196" s="10" t="s">
        <v>21</v>
      </c>
    </row>
    <row r="197" ht="15.75" customHeight="1">
      <c r="A197" s="12" t="s">
        <v>16</v>
      </c>
      <c r="B197" s="12" t="s">
        <v>19</v>
      </c>
      <c r="C197" s="13">
        <v>30.643056706410544</v>
      </c>
      <c r="D197" s="13">
        <v>87.78</v>
      </c>
      <c r="E197" s="13">
        <f t="shared" si="37"/>
        <v>16.6453024</v>
      </c>
      <c r="F197" s="13">
        <f t="shared" si="38"/>
        <v>49.93590719</v>
      </c>
      <c r="G197" s="12" t="s">
        <v>21</v>
      </c>
    </row>
    <row r="198" ht="15.75" customHeight="1">
      <c r="A198" s="12" t="s">
        <v>22</v>
      </c>
      <c r="B198" s="12" t="s">
        <v>23</v>
      </c>
      <c r="C198" s="13">
        <v>19.76025538676237</v>
      </c>
      <c r="D198" s="13">
        <v>88.48</v>
      </c>
      <c r="E198" s="13">
        <f t="shared" si="37"/>
        <v>10.64884781</v>
      </c>
      <c r="F198" s="13">
        <f t="shared" si="38"/>
        <v>31.94654343</v>
      </c>
      <c r="G198" s="12" t="s">
        <v>21</v>
      </c>
    </row>
    <row r="199" ht="15.75" customHeight="1">
      <c r="A199" s="12" t="s">
        <v>22</v>
      </c>
      <c r="B199" s="12" t="s">
        <v>25</v>
      </c>
      <c r="C199" s="13">
        <v>1.0</v>
      </c>
      <c r="D199" s="13">
        <v>99.0</v>
      </c>
      <c r="E199" s="13">
        <f t="shared" si="37"/>
        <v>0.4816371596</v>
      </c>
      <c r="F199" s="13">
        <f t="shared" si="38"/>
        <v>1.444911479</v>
      </c>
      <c r="G199" s="12" t="s">
        <v>21</v>
      </c>
    </row>
    <row r="200" ht="15.75" customHeight="1">
      <c r="A200" s="14" t="s">
        <v>24</v>
      </c>
      <c r="B200" s="14" t="s">
        <v>195</v>
      </c>
      <c r="C200" s="15">
        <v>1.0966879068270847</v>
      </c>
      <c r="D200" s="15">
        <v>99.13</v>
      </c>
      <c r="E200" s="15">
        <f t="shared" si="37"/>
        <v>0.5275129546</v>
      </c>
      <c r="F200" s="15">
        <f t="shared" si="38"/>
        <v>1.582538864</v>
      </c>
      <c r="G200" s="14" t="s">
        <v>21</v>
      </c>
    </row>
    <row r="201" ht="15.75" customHeight="1">
      <c r="A201" s="16" t="s">
        <v>27</v>
      </c>
      <c r="B201" s="17"/>
      <c r="C201" s="18">
        <f>SUM(C196:C200)</f>
        <v>100</v>
      </c>
      <c r="D201" s="18"/>
      <c r="E201" s="18">
        <f t="shared" ref="E201:F201" si="39">SUM(E196:E200)</f>
        <v>100</v>
      </c>
      <c r="F201" s="18">
        <f t="shared" si="39"/>
        <v>300</v>
      </c>
      <c r="G201" s="16"/>
    </row>
    <row r="202" ht="15.75" customHeight="1">
      <c r="A202" s="19" t="s">
        <v>33</v>
      </c>
      <c r="B202" s="20">
        <v>18.67686868686869</v>
      </c>
      <c r="C202" s="19" t="s">
        <v>35</v>
      </c>
      <c r="D202" s="20">
        <v>72.30142585825826</v>
      </c>
      <c r="E202" s="19" t="s">
        <v>36</v>
      </c>
      <c r="F202" s="20">
        <v>33.69993711299785</v>
      </c>
      <c r="G202" s="19"/>
    </row>
    <row r="203" ht="15.75" customHeight="1">
      <c r="A203" s="19" t="s">
        <v>37</v>
      </c>
      <c r="B203" s="20">
        <v>0.6228956228956257</v>
      </c>
      <c r="C203" s="19" t="s">
        <v>38</v>
      </c>
      <c r="D203" s="20">
        <v>0.27982010384262</v>
      </c>
      <c r="E203" s="19" t="s">
        <v>39</v>
      </c>
      <c r="F203" s="20">
        <v>2.2260574359802345</v>
      </c>
      <c r="G203" s="19"/>
    </row>
    <row r="204" ht="15.75" customHeight="1">
      <c r="A204" s="19" t="s">
        <v>40</v>
      </c>
      <c r="B204" s="20">
        <v>3.1134342395963013</v>
      </c>
      <c r="C204" s="19" t="s">
        <v>41</v>
      </c>
      <c r="D204" s="20">
        <v>47.5</v>
      </c>
      <c r="E204" s="19" t="s">
        <v>42</v>
      </c>
      <c r="F204" s="20">
        <v>1.0</v>
      </c>
      <c r="G204" s="19"/>
    </row>
    <row r="205" ht="15.75" customHeight="1">
      <c r="A205" s="21" t="s">
        <v>225</v>
      </c>
    </row>
    <row r="206" ht="30.0" customHeight="1">
      <c r="A206" s="22" t="s">
        <v>226</v>
      </c>
      <c r="B206" s="23"/>
      <c r="C206" s="23"/>
      <c r="D206" s="23"/>
      <c r="E206" s="23"/>
      <c r="F206" s="23"/>
      <c r="G206" s="24"/>
    </row>
    <row r="207" ht="15.75" customHeight="1"/>
    <row r="208" ht="22.5" customHeight="1">
      <c r="A208" s="4" t="s">
        <v>201</v>
      </c>
    </row>
    <row r="209" ht="15.75" customHeight="1">
      <c r="A209" s="5" t="s">
        <v>151</v>
      </c>
      <c r="B209" s="6"/>
      <c r="C209" s="6"/>
      <c r="D209" s="6"/>
      <c r="E209" s="6"/>
      <c r="F209" s="6"/>
      <c r="G209" s="7"/>
    </row>
    <row r="210" ht="30.0" customHeight="1">
      <c r="A210" s="9" t="s">
        <v>9</v>
      </c>
      <c r="B210" s="9" t="s">
        <v>10</v>
      </c>
      <c r="C210" s="9" t="s">
        <v>11</v>
      </c>
      <c r="D210" s="9" t="s">
        <v>12</v>
      </c>
      <c r="E210" s="9" t="s">
        <v>13</v>
      </c>
      <c r="F210" s="9" t="s">
        <v>14</v>
      </c>
      <c r="G210" s="9" t="s">
        <v>15</v>
      </c>
    </row>
    <row r="211" ht="15.75" customHeight="1">
      <c r="A211" s="10" t="s">
        <v>18</v>
      </c>
      <c r="B211" s="10" t="s">
        <v>20</v>
      </c>
      <c r="C211" s="11">
        <v>39.6</v>
      </c>
      <c r="D211" s="11">
        <v>31.59</v>
      </c>
      <c r="E211" s="11">
        <f t="shared" ref="E211:E215" si="40">IF(D211&gt;0,(C211/D211)/SUMPRODUCT($C$211:$C$215/$D$211:$D$215)*100,"")</f>
        <v>64.76705524</v>
      </c>
      <c r="F211" s="11">
        <f t="shared" ref="F211:F215" si="41">IF(E211&lt;&gt;"",E211*3,"")</f>
        <v>194.3011657</v>
      </c>
      <c r="G211" s="10" t="s">
        <v>21</v>
      </c>
    </row>
    <row r="212" ht="15.75" customHeight="1">
      <c r="A212" s="12" t="s">
        <v>16</v>
      </c>
      <c r="B212" s="12" t="s">
        <v>19</v>
      </c>
      <c r="C212" s="13">
        <v>30.876086963589305</v>
      </c>
      <c r="D212" s="13">
        <v>87.78</v>
      </c>
      <c r="E212" s="13">
        <f t="shared" si="40"/>
        <v>18.1733617</v>
      </c>
      <c r="F212" s="13">
        <f t="shared" si="41"/>
        <v>54.52008511</v>
      </c>
      <c r="G212" s="12" t="s">
        <v>21</v>
      </c>
    </row>
    <row r="213" ht="15.75" customHeight="1">
      <c r="A213" s="12" t="s">
        <v>22</v>
      </c>
      <c r="B213" s="12" t="s">
        <v>23</v>
      </c>
      <c r="C213" s="13">
        <v>26.63704844276905</v>
      </c>
      <c r="D213" s="13">
        <v>88.48</v>
      </c>
      <c r="E213" s="13">
        <f t="shared" si="40"/>
        <v>15.55426802</v>
      </c>
      <c r="F213" s="13">
        <f t="shared" si="41"/>
        <v>46.66280405</v>
      </c>
      <c r="G213" s="12" t="s">
        <v>21</v>
      </c>
    </row>
    <row r="214" ht="15.75" customHeight="1">
      <c r="A214" s="12" t="s">
        <v>24</v>
      </c>
      <c r="B214" s="12" t="s">
        <v>195</v>
      </c>
      <c r="C214" s="13">
        <v>1.8868645936416468</v>
      </c>
      <c r="D214" s="13">
        <v>99.13</v>
      </c>
      <c r="E214" s="13">
        <f t="shared" si="40"/>
        <v>0.983431739</v>
      </c>
      <c r="F214" s="13">
        <f t="shared" si="41"/>
        <v>2.950295217</v>
      </c>
      <c r="G214" s="12" t="s">
        <v>21</v>
      </c>
    </row>
    <row r="215" ht="15.75" customHeight="1">
      <c r="A215" s="14" t="s">
        <v>24</v>
      </c>
      <c r="B215" s="14" t="s">
        <v>70</v>
      </c>
      <c r="C215" s="15">
        <v>1.0</v>
      </c>
      <c r="D215" s="15">
        <v>99.0</v>
      </c>
      <c r="E215" s="15">
        <f t="shared" si="40"/>
        <v>0.5218832964</v>
      </c>
      <c r="F215" s="15">
        <f t="shared" si="41"/>
        <v>1.565649889</v>
      </c>
      <c r="G215" s="14" t="s">
        <v>31</v>
      </c>
    </row>
    <row r="216" ht="15.75" customHeight="1">
      <c r="A216" s="16" t="s">
        <v>27</v>
      </c>
      <c r="B216" s="17"/>
      <c r="C216" s="18">
        <f>SUM(C211:C215)</f>
        <v>100</v>
      </c>
      <c r="D216" s="18"/>
      <c r="E216" s="18">
        <f t="shared" ref="E216:F216" si="42">SUM(E211:E215)</f>
        <v>100</v>
      </c>
      <c r="F216" s="18">
        <f t="shared" si="42"/>
        <v>300</v>
      </c>
      <c r="G216" s="16"/>
    </row>
    <row r="217" ht="15.75" customHeight="1">
      <c r="A217" s="19" t="s">
        <v>33</v>
      </c>
      <c r="B217" s="20">
        <v>18.676868734380818</v>
      </c>
      <c r="C217" s="19" t="s">
        <v>35</v>
      </c>
      <c r="D217" s="20">
        <v>73.06626682262333</v>
      </c>
      <c r="E217" s="19" t="s">
        <v>36</v>
      </c>
      <c r="F217" s="20">
        <v>30.4241032597141</v>
      </c>
      <c r="G217" s="19"/>
    </row>
    <row r="218" ht="15.75" customHeight="1">
      <c r="A218" s="19" t="s">
        <v>37</v>
      </c>
      <c r="B218" s="20">
        <v>0.9144823585163523</v>
      </c>
      <c r="C218" s="19" t="s">
        <v>38</v>
      </c>
      <c r="D218" s="20">
        <v>0.3048274529108493</v>
      </c>
      <c r="E218" s="19" t="s">
        <v>39</v>
      </c>
      <c r="F218" s="20">
        <v>2.9999999992907607</v>
      </c>
      <c r="G218" s="19"/>
    </row>
    <row r="219" ht="15.75" customHeight="1">
      <c r="A219" s="19" t="s">
        <v>40</v>
      </c>
      <c r="B219" s="20">
        <v>2.9962487828264917</v>
      </c>
      <c r="C219" s="19" t="s">
        <v>41</v>
      </c>
      <c r="D219" s="20">
        <v>39.6</v>
      </c>
      <c r="E219" s="19" t="s">
        <v>42</v>
      </c>
      <c r="F219" s="20">
        <v>1.0</v>
      </c>
      <c r="G219" s="19"/>
    </row>
    <row r="220" ht="15.75" customHeight="1">
      <c r="A220" s="25" t="s">
        <v>229</v>
      </c>
    </row>
    <row r="221" ht="30.0" customHeight="1">
      <c r="A221" s="22" t="s">
        <v>230</v>
      </c>
      <c r="B221" s="23"/>
      <c r="C221" s="23"/>
      <c r="D221" s="23"/>
      <c r="E221" s="23"/>
      <c r="F221" s="23"/>
      <c r="G221" s="24"/>
    </row>
    <row r="222" ht="15.75" customHeight="1"/>
    <row r="223" ht="22.5" customHeight="1">
      <c r="A223" s="4" t="s">
        <v>208</v>
      </c>
    </row>
    <row r="224" ht="15.75" customHeight="1">
      <c r="A224" s="5" t="s">
        <v>8</v>
      </c>
      <c r="B224" s="6"/>
      <c r="C224" s="6"/>
      <c r="D224" s="6"/>
      <c r="E224" s="6"/>
      <c r="F224" s="6"/>
      <c r="G224" s="7"/>
    </row>
    <row r="225" ht="30.0" customHeight="1">
      <c r="A225" s="9" t="s">
        <v>9</v>
      </c>
      <c r="B225" s="9" t="s">
        <v>10</v>
      </c>
      <c r="C225" s="9" t="s">
        <v>11</v>
      </c>
      <c r="D225" s="9" t="s">
        <v>12</v>
      </c>
      <c r="E225" s="9" t="s">
        <v>13</v>
      </c>
      <c r="F225" s="9" t="s">
        <v>14</v>
      </c>
      <c r="G225" s="9" t="s">
        <v>15</v>
      </c>
    </row>
    <row r="226" ht="15.75" customHeight="1">
      <c r="A226" s="10" t="s">
        <v>209</v>
      </c>
      <c r="B226" s="10" t="s">
        <v>210</v>
      </c>
      <c r="C226" s="11">
        <v>37.125</v>
      </c>
      <c r="D226" s="11">
        <v>89.99</v>
      </c>
      <c r="E226" s="11">
        <f t="shared" ref="E226:E231" si="43">IF(D226&gt;0,(C226/D226)/SUMPRODUCT($C$226:$C$231/$D$226:$D$231)*100,"")</f>
        <v>36.7188366</v>
      </c>
      <c r="F226" s="11">
        <f t="shared" ref="F226:F231" si="44">IF(E226&lt;&gt;"",E226*3,"")</f>
        <v>110.1565098</v>
      </c>
      <c r="G226" s="10" t="s">
        <v>21</v>
      </c>
    </row>
    <row r="227" ht="15.75" customHeight="1">
      <c r="A227" s="12" t="s">
        <v>16</v>
      </c>
      <c r="B227" s="12" t="s">
        <v>19</v>
      </c>
      <c r="C227" s="13">
        <v>33.10644591933611</v>
      </c>
      <c r="D227" s="13">
        <v>87.78</v>
      </c>
      <c r="E227" s="13">
        <f t="shared" si="43"/>
        <v>33.56863531</v>
      </c>
      <c r="F227" s="13">
        <f t="shared" si="44"/>
        <v>100.7059059</v>
      </c>
      <c r="G227" s="12" t="s">
        <v>21</v>
      </c>
    </row>
    <row r="228" ht="15.75" customHeight="1">
      <c r="A228" s="12" t="s">
        <v>22</v>
      </c>
      <c r="B228" s="12" t="s">
        <v>23</v>
      </c>
      <c r="C228" s="13">
        <v>27.602455102971934</v>
      </c>
      <c r="D228" s="13">
        <v>88.48</v>
      </c>
      <c r="E228" s="13">
        <f t="shared" si="43"/>
        <v>27.76638239</v>
      </c>
      <c r="F228" s="13">
        <f t="shared" si="44"/>
        <v>83.29914716</v>
      </c>
      <c r="G228" s="12" t="s">
        <v>21</v>
      </c>
    </row>
    <row r="229" ht="15.75" customHeight="1">
      <c r="A229" s="12" t="s">
        <v>164</v>
      </c>
      <c r="B229" s="12" t="s">
        <v>165</v>
      </c>
      <c r="C229" s="13">
        <v>0.1</v>
      </c>
      <c r="D229" s="13">
        <v>99.02</v>
      </c>
      <c r="E229" s="13">
        <f t="shared" si="43"/>
        <v>0.08988635717</v>
      </c>
      <c r="F229" s="13">
        <f t="shared" si="44"/>
        <v>0.2696590715</v>
      </c>
      <c r="G229" s="12" t="s">
        <v>21</v>
      </c>
    </row>
    <row r="230" ht="15.75" customHeight="1">
      <c r="A230" s="12" t="s">
        <v>24</v>
      </c>
      <c r="B230" s="12" t="s">
        <v>195</v>
      </c>
      <c r="C230" s="13">
        <v>1.0660989776919538</v>
      </c>
      <c r="D230" s="13">
        <v>99.13</v>
      </c>
      <c r="E230" s="13">
        <f t="shared" si="43"/>
        <v>0.9572141784</v>
      </c>
      <c r="F230" s="13">
        <f t="shared" si="44"/>
        <v>2.871642535</v>
      </c>
      <c r="G230" s="12" t="s">
        <v>21</v>
      </c>
    </row>
    <row r="231" ht="15.75" customHeight="1">
      <c r="A231" s="14" t="s">
        <v>24</v>
      </c>
      <c r="B231" s="14" t="s">
        <v>70</v>
      </c>
      <c r="C231" s="15">
        <v>1.0</v>
      </c>
      <c r="D231" s="15">
        <v>99.0</v>
      </c>
      <c r="E231" s="15">
        <f t="shared" si="43"/>
        <v>0.8990451603</v>
      </c>
      <c r="F231" s="15">
        <f t="shared" si="44"/>
        <v>2.697135481</v>
      </c>
      <c r="G231" s="14" t="s">
        <v>21</v>
      </c>
    </row>
    <row r="232" ht="15.75" customHeight="1">
      <c r="A232" s="16" t="s">
        <v>27</v>
      </c>
      <c r="B232" s="17"/>
      <c r="C232" s="18">
        <f>SUM(C226:C231)</f>
        <v>100</v>
      </c>
      <c r="D232" s="18"/>
      <c r="E232" s="18">
        <f t="shared" ref="E232:F232" si="45">SUM(E226:E231)</f>
        <v>100</v>
      </c>
      <c r="F232" s="18">
        <f t="shared" si="45"/>
        <v>300</v>
      </c>
      <c r="G232" s="16"/>
    </row>
    <row r="233" ht="15.75" customHeight="1">
      <c r="A233" s="19" t="s">
        <v>33</v>
      </c>
      <c r="B233" s="20">
        <v>18.6768686868687</v>
      </c>
      <c r="C233" s="19" t="s">
        <v>35</v>
      </c>
      <c r="D233" s="20">
        <v>71.39901242903409</v>
      </c>
      <c r="E233" s="19" t="s">
        <v>36</v>
      </c>
      <c r="F233" s="20">
        <v>32.90016491711925</v>
      </c>
      <c r="G233" s="19"/>
    </row>
    <row r="234" ht="15.75" customHeight="1">
      <c r="A234" s="19" t="s">
        <v>37</v>
      </c>
      <c r="B234" s="20">
        <v>0.6590398771571696</v>
      </c>
      <c r="C234" s="19" t="s">
        <v>38</v>
      </c>
      <c r="D234" s="20">
        <v>0.3295199385785878</v>
      </c>
      <c r="E234" s="19" t="s">
        <v>39</v>
      </c>
      <c r="F234" s="20">
        <v>1.9999999999999818</v>
      </c>
      <c r="G234" s="19"/>
    </row>
    <row r="235" ht="15.75" customHeight="1">
      <c r="A235" s="19" t="s">
        <v>40</v>
      </c>
      <c r="B235" s="20">
        <v>2.561129903730258</v>
      </c>
      <c r="C235" s="19" t="s">
        <v>41</v>
      </c>
      <c r="D235" s="20">
        <v>37.125</v>
      </c>
      <c r="E235" s="19" t="s">
        <v>42</v>
      </c>
      <c r="F235" s="20">
        <v>1.0</v>
      </c>
      <c r="G235" s="19"/>
    </row>
    <row r="236" ht="15.75" customHeight="1">
      <c r="A236" s="25" t="s">
        <v>233</v>
      </c>
    </row>
    <row r="237" ht="30.0" customHeight="1">
      <c r="A237" s="22" t="s">
        <v>235</v>
      </c>
      <c r="B237" s="23"/>
      <c r="C237" s="23"/>
      <c r="D237" s="23"/>
      <c r="E237" s="23"/>
      <c r="F237" s="23"/>
      <c r="G237" s="24"/>
    </row>
    <row r="238" ht="15.75" customHeight="1"/>
    <row r="239" ht="22.5" customHeight="1">
      <c r="A239" s="4" t="s">
        <v>218</v>
      </c>
    </row>
    <row r="240" ht="15.75" customHeight="1">
      <c r="A240" s="5" t="s">
        <v>8</v>
      </c>
      <c r="B240" s="6"/>
      <c r="C240" s="6"/>
      <c r="D240" s="6"/>
      <c r="E240" s="6"/>
      <c r="F240" s="6"/>
      <c r="G240" s="7"/>
    </row>
    <row r="241" ht="30.0" customHeight="1">
      <c r="A241" s="9" t="s">
        <v>9</v>
      </c>
      <c r="B241" s="9" t="s">
        <v>10</v>
      </c>
      <c r="C241" s="9" t="s">
        <v>11</v>
      </c>
      <c r="D241" s="9" t="s">
        <v>12</v>
      </c>
      <c r="E241" s="9" t="s">
        <v>13</v>
      </c>
      <c r="F241" s="9" t="s">
        <v>14</v>
      </c>
      <c r="G241" s="9" t="s">
        <v>15</v>
      </c>
    </row>
    <row r="242" ht="15.75" customHeight="1">
      <c r="A242" s="10" t="s">
        <v>18</v>
      </c>
      <c r="B242" s="10" t="s">
        <v>20</v>
      </c>
      <c r="C242" s="11">
        <v>47.5</v>
      </c>
      <c r="D242" s="11">
        <v>31.59</v>
      </c>
      <c r="E242" s="11">
        <f t="shared" ref="E242:E246" si="46">IF(D242&gt;0,(C242/D242)/SUMPRODUCT($C$242:$C$246/$D$242:$D$246)*100,"")</f>
        <v>71.69911345</v>
      </c>
      <c r="F242" s="11">
        <f t="shared" ref="F242:F246" si="47">IF(E242&lt;&gt;"",E242*3,"")</f>
        <v>215.0973404</v>
      </c>
      <c r="G242" s="10" t="s">
        <v>21</v>
      </c>
    </row>
    <row r="243" ht="15.75" customHeight="1">
      <c r="A243" s="12" t="s">
        <v>16</v>
      </c>
      <c r="B243" s="12" t="s">
        <v>19</v>
      </c>
      <c r="C243" s="13">
        <v>30.65495722938717</v>
      </c>
      <c r="D243" s="13">
        <v>87.78</v>
      </c>
      <c r="E243" s="13">
        <f t="shared" si="46"/>
        <v>16.65232736</v>
      </c>
      <c r="F243" s="13">
        <f t="shared" si="47"/>
        <v>49.95698209</v>
      </c>
      <c r="G243" s="12" t="s">
        <v>21</v>
      </c>
    </row>
    <row r="244" ht="15.75" customHeight="1">
      <c r="A244" s="12" t="s">
        <v>22</v>
      </c>
      <c r="B244" s="12" t="s">
        <v>23</v>
      </c>
      <c r="C244" s="13">
        <v>19.758034411391346</v>
      </c>
      <c r="D244" s="13">
        <v>88.48</v>
      </c>
      <c r="E244" s="13">
        <f t="shared" si="46"/>
        <v>10.64800939</v>
      </c>
      <c r="F244" s="13">
        <f t="shared" si="47"/>
        <v>31.94402817</v>
      </c>
      <c r="G244" s="12" t="s">
        <v>21</v>
      </c>
    </row>
    <row r="245" ht="15.75" customHeight="1">
      <c r="A245" s="12" t="s">
        <v>22</v>
      </c>
      <c r="B245" s="12" t="s">
        <v>25</v>
      </c>
      <c r="C245" s="13">
        <v>1.0</v>
      </c>
      <c r="D245" s="13">
        <v>99.0</v>
      </c>
      <c r="E245" s="13">
        <f t="shared" si="46"/>
        <v>0.4816533746</v>
      </c>
      <c r="F245" s="13">
        <f t="shared" si="47"/>
        <v>1.444960124</v>
      </c>
      <c r="G245" s="12" t="s">
        <v>21</v>
      </c>
    </row>
    <row r="246" ht="15.75" customHeight="1">
      <c r="A246" s="14" t="s">
        <v>24</v>
      </c>
      <c r="B246" s="14" t="s">
        <v>26</v>
      </c>
      <c r="C246" s="15">
        <v>1.0870083592214874</v>
      </c>
      <c r="D246" s="15">
        <v>99.89</v>
      </c>
      <c r="E246" s="15">
        <f t="shared" si="46"/>
        <v>0.518896418</v>
      </c>
      <c r="F246" s="15">
        <f t="shared" si="47"/>
        <v>1.556689254</v>
      </c>
      <c r="G246" s="14" t="s">
        <v>21</v>
      </c>
    </row>
    <row r="247" ht="15.75" customHeight="1">
      <c r="A247" s="16" t="s">
        <v>27</v>
      </c>
      <c r="B247" s="17"/>
      <c r="C247" s="18">
        <f>SUM(C242:C246)</f>
        <v>100</v>
      </c>
      <c r="D247" s="18"/>
      <c r="E247" s="18">
        <f t="shared" ref="E247:F247" si="48">SUM(E242:E246)</f>
        <v>100</v>
      </c>
      <c r="F247" s="18">
        <f t="shared" si="48"/>
        <v>300</v>
      </c>
      <c r="G247" s="16"/>
    </row>
    <row r="248" ht="15.75" customHeight="1">
      <c r="A248" s="19" t="s">
        <v>33</v>
      </c>
      <c r="B248" s="20">
        <v>18.67686868686865</v>
      </c>
      <c r="C248" s="19" t="s">
        <v>35</v>
      </c>
      <c r="D248" s="20">
        <v>72.30987088475801</v>
      </c>
      <c r="E248" s="19" t="s">
        <v>36</v>
      </c>
      <c r="F248" s="20">
        <v>33.70130823433966</v>
      </c>
      <c r="G248" s="19"/>
    </row>
    <row r="249" ht="15.75" customHeight="1">
      <c r="A249" s="19" t="s">
        <v>37</v>
      </c>
      <c r="B249" s="20">
        <v>0.6228956228956332</v>
      </c>
      <c r="C249" s="19" t="s">
        <v>38</v>
      </c>
      <c r="D249" s="20">
        <v>0.2796168900543207</v>
      </c>
      <c r="E249" s="19" t="s">
        <v>39</v>
      </c>
      <c r="F249" s="20">
        <v>2.2276752408433707</v>
      </c>
      <c r="G249" s="19"/>
    </row>
    <row r="250" ht="15.75" customHeight="1">
      <c r="A250" s="19" t="s">
        <v>40</v>
      </c>
      <c r="B250" s="20">
        <v>3.113892814387732</v>
      </c>
      <c r="C250" s="19" t="s">
        <v>41</v>
      </c>
      <c r="D250" s="20">
        <v>47.5</v>
      </c>
      <c r="E250" s="19" t="s">
        <v>42</v>
      </c>
      <c r="F250" s="20">
        <v>1.0</v>
      </c>
      <c r="G250" s="19"/>
    </row>
    <row r="251" ht="15.75" customHeight="1">
      <c r="A251" s="21" t="s">
        <v>187</v>
      </c>
    </row>
    <row r="252" ht="30.0" customHeight="1">
      <c r="A252" s="22" t="s">
        <v>188</v>
      </c>
      <c r="B252" s="23"/>
      <c r="C252" s="23"/>
      <c r="D252" s="23"/>
      <c r="E252" s="23"/>
      <c r="F252" s="23"/>
      <c r="G252" s="24"/>
    </row>
    <row r="253" ht="15.75" customHeight="1"/>
    <row r="254" ht="22.5" customHeight="1">
      <c r="A254" s="4" t="s">
        <v>222</v>
      </c>
    </row>
    <row r="255" ht="15.75" customHeight="1">
      <c r="A255" s="5" t="s">
        <v>8</v>
      </c>
      <c r="B255" s="6"/>
      <c r="C255" s="6"/>
      <c r="D255" s="6"/>
      <c r="E255" s="6"/>
      <c r="F255" s="6"/>
      <c r="G255" s="7"/>
    </row>
    <row r="256" ht="30.0" customHeight="1">
      <c r="A256" s="9" t="s">
        <v>9</v>
      </c>
      <c r="B256" s="9" t="s">
        <v>10</v>
      </c>
      <c r="C256" s="9" t="s">
        <v>11</v>
      </c>
      <c r="D256" s="9" t="s">
        <v>12</v>
      </c>
      <c r="E256" s="9" t="s">
        <v>13</v>
      </c>
      <c r="F256" s="9" t="s">
        <v>14</v>
      </c>
      <c r="G256" s="9" t="s">
        <v>15</v>
      </c>
    </row>
    <row r="257" ht="15.75" customHeight="1">
      <c r="A257" s="10" t="s">
        <v>18</v>
      </c>
      <c r="B257" s="10" t="s">
        <v>20</v>
      </c>
      <c r="C257" s="11">
        <v>47.5</v>
      </c>
      <c r="D257" s="11">
        <v>31.59</v>
      </c>
      <c r="E257" s="11">
        <f t="shared" ref="E257:E261" si="49">IF(D257&gt;0,(C257/D257)/SUMPRODUCT($C$257:$C$261/$D$257:$D$261)*100,"")</f>
        <v>71.69672111</v>
      </c>
      <c r="F257" s="11">
        <f t="shared" ref="F257:F261" si="50">IF(E257&lt;&gt;"",E257*3,"")</f>
        <v>215.0901633</v>
      </c>
      <c r="G257" s="10" t="s">
        <v>21</v>
      </c>
    </row>
    <row r="258" ht="15.75" customHeight="1">
      <c r="A258" s="12" t="s">
        <v>16</v>
      </c>
      <c r="B258" s="12" t="s">
        <v>19</v>
      </c>
      <c r="C258" s="13">
        <v>30.63523989314182</v>
      </c>
      <c r="D258" s="13">
        <v>87.78</v>
      </c>
      <c r="E258" s="13">
        <f t="shared" si="49"/>
        <v>16.64106128</v>
      </c>
      <c r="F258" s="13">
        <f t="shared" si="50"/>
        <v>49.92318384</v>
      </c>
      <c r="G258" s="12" t="s">
        <v>21</v>
      </c>
    </row>
    <row r="259" ht="15.75" customHeight="1">
      <c r="A259" s="12" t="s">
        <v>22</v>
      </c>
      <c r="B259" s="12" t="s">
        <v>23</v>
      </c>
      <c r="C259" s="13">
        <v>19.768136115102763</v>
      </c>
      <c r="D259" s="13">
        <v>88.48</v>
      </c>
      <c r="E259" s="13">
        <f t="shared" si="49"/>
        <v>10.65309794</v>
      </c>
      <c r="F259" s="13">
        <f t="shared" si="50"/>
        <v>31.95929382</v>
      </c>
      <c r="G259" s="12" t="s">
        <v>21</v>
      </c>
    </row>
    <row r="260" ht="15.75" customHeight="1">
      <c r="A260" s="12" t="s">
        <v>24</v>
      </c>
      <c r="B260" s="12" t="s">
        <v>195</v>
      </c>
      <c r="C260" s="13">
        <v>1.0966239917554241</v>
      </c>
      <c r="D260" s="13">
        <v>99.13</v>
      </c>
      <c r="E260" s="13">
        <f t="shared" si="49"/>
        <v>0.5274823688</v>
      </c>
      <c r="F260" s="13">
        <f t="shared" si="50"/>
        <v>1.582447106</v>
      </c>
      <c r="G260" s="12" t="s">
        <v>21</v>
      </c>
    </row>
    <row r="261" ht="15.75" customHeight="1">
      <c r="A261" s="14" t="s">
        <v>22</v>
      </c>
      <c r="B261" s="14" t="s">
        <v>25</v>
      </c>
      <c r="C261" s="15">
        <v>1.0</v>
      </c>
      <c r="D261" s="15">
        <v>99.0</v>
      </c>
      <c r="E261" s="15">
        <f t="shared" si="49"/>
        <v>0.4816373035</v>
      </c>
      <c r="F261" s="15">
        <f t="shared" si="50"/>
        <v>1.444911911</v>
      </c>
      <c r="G261" s="14" t="s">
        <v>21</v>
      </c>
    </row>
    <row r="262" ht="15.75" customHeight="1">
      <c r="A262" s="16" t="s">
        <v>27</v>
      </c>
      <c r="B262" s="17"/>
      <c r="C262" s="18">
        <f>SUM(C257:C261)</f>
        <v>100</v>
      </c>
      <c r="D262" s="18"/>
      <c r="E262" s="18">
        <f t="shared" ref="E262:F262" si="51">SUM(E257:E261)</f>
        <v>100</v>
      </c>
      <c r="F262" s="18">
        <f t="shared" si="51"/>
        <v>300</v>
      </c>
      <c r="G262" s="16"/>
    </row>
    <row r="263" ht="15.75" customHeight="1">
      <c r="A263" s="19" t="s">
        <v>33</v>
      </c>
      <c r="B263" s="20">
        <v>18.68000000000001</v>
      </c>
      <c r="C263" s="19" t="s">
        <v>35</v>
      </c>
      <c r="D263" s="20">
        <v>72.30106316579237</v>
      </c>
      <c r="E263" s="19" t="s">
        <v>36</v>
      </c>
      <c r="F263" s="20">
        <v>33.7000235415144</v>
      </c>
      <c r="G263" s="19"/>
    </row>
    <row r="264" ht="15.75" customHeight="1">
      <c r="A264" s="19" t="s">
        <v>37</v>
      </c>
      <c r="B264" s="20">
        <v>0.6228956228956397</v>
      </c>
      <c r="C264" s="19" t="s">
        <v>38</v>
      </c>
      <c r="D264" s="20">
        <v>0.27984546278646694</v>
      </c>
      <c r="E264" s="19" t="s">
        <v>39</v>
      </c>
      <c r="F264" s="20">
        <v>2.225855715841759</v>
      </c>
      <c r="G264" s="19"/>
    </row>
    <row r="265" ht="15.75" customHeight="1">
      <c r="A265" s="19" t="s">
        <v>40</v>
      </c>
      <c r="B265" s="20">
        <v>3.113245409547626</v>
      </c>
      <c r="C265" s="19" t="s">
        <v>41</v>
      </c>
      <c r="D265" s="20">
        <v>47.5</v>
      </c>
      <c r="E265" s="19" t="s">
        <v>42</v>
      </c>
      <c r="F265" s="20">
        <v>1.0</v>
      </c>
      <c r="G265" s="19"/>
    </row>
    <row r="266" ht="15.75" customHeight="1">
      <c r="A266" s="21" t="s">
        <v>225</v>
      </c>
    </row>
    <row r="267" ht="30.0" customHeight="1">
      <c r="A267" s="22" t="s">
        <v>226</v>
      </c>
      <c r="B267" s="23"/>
      <c r="C267" s="23"/>
      <c r="D267" s="23"/>
      <c r="E267" s="23"/>
      <c r="F267" s="23"/>
      <c r="G267" s="24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</sheetData>
  <mergeCells count="86">
    <mergeCell ref="A82:G82"/>
    <mergeCell ref="A83:G83"/>
    <mergeCell ref="A85:G85"/>
    <mergeCell ref="A86:G86"/>
    <mergeCell ref="A99:G99"/>
    <mergeCell ref="A100:G100"/>
    <mergeCell ref="A102:G102"/>
    <mergeCell ref="A103:G103"/>
    <mergeCell ref="A115:G115"/>
    <mergeCell ref="A116:G116"/>
    <mergeCell ref="A154:B154"/>
    <mergeCell ref="A169:B169"/>
    <mergeCell ref="A186:B186"/>
    <mergeCell ref="A201:B201"/>
    <mergeCell ref="A216:B216"/>
    <mergeCell ref="A232:B232"/>
    <mergeCell ref="A247:B247"/>
    <mergeCell ref="A262:B262"/>
    <mergeCell ref="A61:B61"/>
    <mergeCell ref="A78:B78"/>
    <mergeCell ref="A95:B95"/>
    <mergeCell ref="A111:B111"/>
    <mergeCell ref="A126:B126"/>
    <mergeCell ref="A140:B140"/>
    <mergeCell ref="A173:G173"/>
    <mergeCell ref="A174:G174"/>
    <mergeCell ref="A176:G176"/>
    <mergeCell ref="A177:G177"/>
    <mergeCell ref="A190:G190"/>
    <mergeCell ref="A191:G191"/>
    <mergeCell ref="A193:G193"/>
    <mergeCell ref="A194:G194"/>
    <mergeCell ref="A205:G205"/>
    <mergeCell ref="A206:G206"/>
    <mergeCell ref="A208:G208"/>
    <mergeCell ref="A209:G209"/>
    <mergeCell ref="A220:G220"/>
    <mergeCell ref="A221:G221"/>
    <mergeCell ref="A252:G252"/>
    <mergeCell ref="A254:G254"/>
    <mergeCell ref="A255:G255"/>
    <mergeCell ref="A266:G266"/>
    <mergeCell ref="A267:G267"/>
    <mergeCell ref="A223:G223"/>
    <mergeCell ref="A224:G224"/>
    <mergeCell ref="A236:G236"/>
    <mergeCell ref="A237:G237"/>
    <mergeCell ref="A239:G239"/>
    <mergeCell ref="A240:G240"/>
    <mergeCell ref="A251:G251"/>
    <mergeCell ref="A3:G3"/>
    <mergeCell ref="A4:G4"/>
    <mergeCell ref="A13:B13"/>
    <mergeCell ref="A17:G17"/>
    <mergeCell ref="A18:G18"/>
    <mergeCell ref="A20:G20"/>
    <mergeCell ref="A21:G21"/>
    <mergeCell ref="A29:B29"/>
    <mergeCell ref="A33:G33"/>
    <mergeCell ref="A34:G34"/>
    <mergeCell ref="A36:G36"/>
    <mergeCell ref="A37:G37"/>
    <mergeCell ref="A44:B44"/>
    <mergeCell ref="A48:G48"/>
    <mergeCell ref="A49:G49"/>
    <mergeCell ref="A118:G118"/>
    <mergeCell ref="A119:G119"/>
    <mergeCell ref="A130:G130"/>
    <mergeCell ref="A131:G131"/>
    <mergeCell ref="A133:G133"/>
    <mergeCell ref="A134:G134"/>
    <mergeCell ref="A144:G144"/>
    <mergeCell ref="A145:G145"/>
    <mergeCell ref="A147:G147"/>
    <mergeCell ref="A148:G148"/>
    <mergeCell ref="A158:G158"/>
    <mergeCell ref="A159:G159"/>
    <mergeCell ref="A161:G161"/>
    <mergeCell ref="A162:G162"/>
    <mergeCell ref="A1:G1"/>
    <mergeCell ref="A51:G51"/>
    <mergeCell ref="A52:G52"/>
    <mergeCell ref="A65:G65"/>
    <mergeCell ref="A66:G66"/>
    <mergeCell ref="A68:G68"/>
    <mergeCell ref="A69:G6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0"/>
    <col customWidth="1" min="2" max="2" width="28.0"/>
    <col customWidth="1" min="3" max="3" width="22.0"/>
    <col customWidth="1" min="4" max="4" width="13.0"/>
    <col customWidth="1" min="5" max="5" width="17.0"/>
    <col customWidth="1" min="6" max="6" width="13.0"/>
    <col customWidth="1" min="7" max="7" width="17.0"/>
    <col customWidth="1" min="8" max="9" width="12.0"/>
    <col customWidth="1" min="10" max="10" width="15.0"/>
    <col customWidth="1" min="11" max="12" width="12.0"/>
    <col customWidth="1" min="13" max="13" width="15.0"/>
    <col customWidth="1" min="14" max="15" width="12.0"/>
    <col customWidth="1" min="16" max="16" width="15.0"/>
    <col customWidth="1" min="17" max="17" width="12.0"/>
    <col customWidth="1" min="18" max="18" width="13.0"/>
    <col customWidth="1" min="19" max="20" width="17.0"/>
    <col customWidth="1" min="21" max="21" width="20.0"/>
    <col customWidth="1" min="22" max="22" width="15.0"/>
    <col customWidth="1" min="23" max="23" width="18.0"/>
    <col customWidth="1" min="24" max="24" width="14.0"/>
    <col customWidth="1" min="25" max="25" width="22.0"/>
  </cols>
  <sheetData>
    <row r="1" ht="15.0" customHeight="1">
      <c r="A1" s="49" t="s">
        <v>141</v>
      </c>
      <c r="B1" s="49" t="s">
        <v>142</v>
      </c>
      <c r="C1" s="49" t="s">
        <v>143</v>
      </c>
      <c r="D1" s="49" t="s">
        <v>145</v>
      </c>
      <c r="E1" s="49" t="s">
        <v>146</v>
      </c>
      <c r="F1" s="50" t="s">
        <v>147</v>
      </c>
      <c r="G1" s="49" t="s">
        <v>148</v>
      </c>
      <c r="H1" s="49" t="s">
        <v>152</v>
      </c>
      <c r="I1" s="50" t="s">
        <v>153</v>
      </c>
      <c r="J1" s="49" t="s">
        <v>154</v>
      </c>
      <c r="K1" s="49" t="s">
        <v>155</v>
      </c>
      <c r="L1" s="50" t="s">
        <v>156</v>
      </c>
      <c r="M1" s="49" t="s">
        <v>157</v>
      </c>
      <c r="N1" s="49" t="s">
        <v>158</v>
      </c>
      <c r="O1" s="50" t="s">
        <v>159</v>
      </c>
      <c r="P1" s="49" t="s">
        <v>160</v>
      </c>
      <c r="Q1" s="49" t="s">
        <v>161</v>
      </c>
      <c r="R1" s="50" t="s">
        <v>162</v>
      </c>
      <c r="S1" s="49" t="s">
        <v>163</v>
      </c>
      <c r="T1" s="50" t="s">
        <v>166</v>
      </c>
      <c r="U1" s="49" t="s">
        <v>167</v>
      </c>
      <c r="V1" s="50" t="s">
        <v>168</v>
      </c>
      <c r="W1" s="49" t="s">
        <v>169</v>
      </c>
      <c r="X1" s="49" t="s">
        <v>170</v>
      </c>
      <c r="Y1" s="49" t="s">
        <v>171</v>
      </c>
    </row>
    <row r="2" ht="15.0" customHeight="1">
      <c r="A2" s="51">
        <v>14.0</v>
      </c>
      <c r="B2" s="51" t="s">
        <v>174</v>
      </c>
      <c r="C2" s="51" t="s">
        <v>177</v>
      </c>
      <c r="D2" s="51" t="s">
        <v>178</v>
      </c>
      <c r="E2" s="51" t="s">
        <v>178</v>
      </c>
      <c r="F2" s="52">
        <v>50.0</v>
      </c>
      <c r="G2" s="52">
        <v>52.25</v>
      </c>
      <c r="H2" s="52">
        <f t="shared" ref="H2:H17" si="1">IF(OR(F2="",G2=""),"",G2-F2)</f>
        <v>2.25</v>
      </c>
      <c r="I2" s="52">
        <v>18.6768686868687</v>
      </c>
      <c r="J2" s="52">
        <v>18.6768686868687</v>
      </c>
      <c r="K2" s="52">
        <f t="shared" ref="K2:K17" si="2">IF(OR(I2="",J2=""),"",J2-I2)</f>
        <v>0</v>
      </c>
      <c r="L2" s="52">
        <v>72.93371848489214</v>
      </c>
      <c r="M2" s="52">
        <v>72.4278687008829</v>
      </c>
      <c r="N2" s="52">
        <f t="shared" ref="N2:N17" si="3">IF(OR(L2="",M2=""),"",M2-L2)</f>
        <v>-0.505849784</v>
      </c>
      <c r="O2" s="52">
        <v>32.955881064390525</v>
      </c>
      <c r="P2" s="52">
        <v>33.879118075083234</v>
      </c>
      <c r="Q2" s="52">
        <f t="shared" ref="Q2:Q17" si="4">IF(OR(O2="",P2=""),"",P2-O2)</f>
        <v>0.9232370107</v>
      </c>
      <c r="R2" s="52">
        <v>2.258622391051129</v>
      </c>
      <c r="S2" s="52">
        <v>2.2667538935779903</v>
      </c>
      <c r="T2" s="52" t="s">
        <v>186</v>
      </c>
      <c r="U2" s="52" t="s">
        <v>186</v>
      </c>
      <c r="V2" s="52">
        <v>1.0</v>
      </c>
      <c r="W2" s="52">
        <v>1.0</v>
      </c>
      <c r="X2" s="52">
        <f t="shared" ref="X2:X17" si="5">IF(OR(V2="",W2=""),"",W2-V2)</f>
        <v>0</v>
      </c>
      <c r="Y2" s="51" t="str">
        <f t="shared" ref="Y2:Y17" si="6">IF(OR(D2&lt;&gt;"OK",E2&lt;&gt;"OK"),"Não comparável",IF(W2&lt;V2,"Otimizada",IF(W2&gt;V2,"50% fixo","Empate nutricional")))</f>
        <v>Empate nutricional</v>
      </c>
    </row>
    <row r="3" ht="15.0" customHeight="1">
      <c r="A3" s="51">
        <v>17.0</v>
      </c>
      <c r="B3" s="51" t="s">
        <v>191</v>
      </c>
      <c r="C3" s="51" t="s">
        <v>192</v>
      </c>
      <c r="D3" s="51" t="s">
        <v>178</v>
      </c>
      <c r="E3" s="51" t="s">
        <v>178</v>
      </c>
      <c r="F3" s="52">
        <v>50.0</v>
      </c>
      <c r="G3" s="52">
        <v>50.00376977711704</v>
      </c>
      <c r="H3" s="52">
        <f t="shared" si="1"/>
        <v>0.003769777117</v>
      </c>
      <c r="I3" s="52">
        <v>18.68715</v>
      </c>
      <c r="J3" s="52">
        <v>18.676868686868687</v>
      </c>
      <c r="K3" s="52">
        <f t="shared" si="2"/>
        <v>-0.01028131313</v>
      </c>
      <c r="L3" s="52">
        <v>71.727273</v>
      </c>
      <c r="M3" s="52">
        <v>71.729652860294</v>
      </c>
      <c r="N3" s="52">
        <f t="shared" si="3"/>
        <v>0.002379860294</v>
      </c>
      <c r="O3" s="52">
        <v>34.724269</v>
      </c>
      <c r="P3" s="52">
        <v>34.726352555812596</v>
      </c>
      <c r="Q3" s="52">
        <f t="shared" si="4"/>
        <v>0.002083555813</v>
      </c>
      <c r="R3" s="52">
        <v>2.2658634999497425</v>
      </c>
      <c r="S3" s="52">
        <v>2.2658458380736493</v>
      </c>
      <c r="T3" s="52" t="s">
        <v>186</v>
      </c>
      <c r="U3" s="52" t="s">
        <v>186</v>
      </c>
      <c r="V3" s="52">
        <v>1.0</v>
      </c>
      <c r="W3" s="52">
        <v>1.0</v>
      </c>
      <c r="X3" s="52">
        <f t="shared" si="5"/>
        <v>0</v>
      </c>
      <c r="Y3" s="51" t="str">
        <f t="shared" si="6"/>
        <v>Empate nutricional</v>
      </c>
    </row>
    <row r="4" ht="15.0" customHeight="1">
      <c r="A4" s="51">
        <v>28.0</v>
      </c>
      <c r="B4" s="51" t="s">
        <v>200</v>
      </c>
      <c r="C4" s="51" t="s">
        <v>192</v>
      </c>
      <c r="D4" s="51" t="s">
        <v>178</v>
      </c>
      <c r="E4" s="51" t="s">
        <v>178</v>
      </c>
      <c r="F4" s="52">
        <v>50.0</v>
      </c>
      <c r="G4" s="52">
        <v>27.225000000000005</v>
      </c>
      <c r="H4" s="52">
        <f t="shared" si="1"/>
        <v>-22.775</v>
      </c>
      <c r="I4" s="52">
        <v>18.676868686868684</v>
      </c>
      <c r="J4" s="52">
        <v>18.676868686868684</v>
      </c>
      <c r="K4" s="52">
        <f t="shared" si="2"/>
        <v>0</v>
      </c>
      <c r="L4" s="52">
        <v>69.50603578173539</v>
      </c>
      <c r="M4" s="52">
        <v>73.0479882192308</v>
      </c>
      <c r="N4" s="52">
        <f t="shared" si="3"/>
        <v>3.541952437</v>
      </c>
      <c r="O4" s="52">
        <v>40.390926317716755</v>
      </c>
      <c r="P4" s="52">
        <v>33.87144808362406</v>
      </c>
      <c r="Q4" s="52">
        <f t="shared" si="4"/>
        <v>-6.519478234</v>
      </c>
      <c r="R4" s="52">
        <v>1.9999999999999933</v>
      </c>
      <c r="S4" s="52">
        <v>2.0000000000000018</v>
      </c>
      <c r="T4" s="52" t="s">
        <v>203</v>
      </c>
      <c r="U4" s="52" t="s">
        <v>186</v>
      </c>
      <c r="V4" s="52">
        <v>0.0</v>
      </c>
      <c r="W4" s="52">
        <v>0.0</v>
      </c>
      <c r="X4" s="52">
        <f t="shared" si="5"/>
        <v>0</v>
      </c>
      <c r="Y4" s="51" t="str">
        <f t="shared" si="6"/>
        <v>Empate nutricional</v>
      </c>
    </row>
    <row r="5" ht="15.0" customHeight="1">
      <c r="A5" s="51">
        <v>29.0</v>
      </c>
      <c r="B5" s="51" t="s">
        <v>205</v>
      </c>
      <c r="C5" s="51" t="s">
        <v>192</v>
      </c>
      <c r="D5" s="51" t="s">
        <v>178</v>
      </c>
      <c r="E5" s="51" t="s">
        <v>178</v>
      </c>
      <c r="F5" s="52">
        <v>50.0</v>
      </c>
      <c r="G5" s="52">
        <v>22.275000000000002</v>
      </c>
      <c r="H5" s="52">
        <f t="shared" si="1"/>
        <v>-27.725</v>
      </c>
      <c r="I5" s="52">
        <v>12.234496547968634</v>
      </c>
      <c r="J5" s="52">
        <v>12.24684210526316</v>
      </c>
      <c r="K5" s="52">
        <f t="shared" si="2"/>
        <v>0.01234555729</v>
      </c>
      <c r="L5" s="52">
        <v>69.53748429133707</v>
      </c>
      <c r="M5" s="52">
        <v>72.99856219108821</v>
      </c>
      <c r="N5" s="52">
        <f t="shared" si="3"/>
        <v>3.4610779</v>
      </c>
      <c r="O5" s="52">
        <v>41.06090991799363</v>
      </c>
      <c r="P5" s="52">
        <v>33.77506205748412</v>
      </c>
      <c r="Q5" s="52">
        <f t="shared" si="4"/>
        <v>-7.285847861</v>
      </c>
      <c r="R5" s="52">
        <v>2.0000000000000004</v>
      </c>
      <c r="S5" s="52">
        <v>2.499999999999996</v>
      </c>
      <c r="T5" s="52" t="s">
        <v>186</v>
      </c>
      <c r="U5" s="52" t="s">
        <v>186</v>
      </c>
      <c r="V5" s="52">
        <v>0.0</v>
      </c>
      <c r="W5" s="52">
        <v>0.0</v>
      </c>
      <c r="X5" s="52">
        <f t="shared" si="5"/>
        <v>0</v>
      </c>
      <c r="Y5" s="51" t="str">
        <f t="shared" si="6"/>
        <v>Empate nutricional</v>
      </c>
    </row>
    <row r="6" ht="15.0" customHeight="1">
      <c r="A6" s="51">
        <v>30.0</v>
      </c>
      <c r="B6" s="51" t="s">
        <v>214</v>
      </c>
      <c r="C6" s="51" t="s">
        <v>192</v>
      </c>
      <c r="D6" s="51" t="s">
        <v>178</v>
      </c>
      <c r="E6" s="51" t="s">
        <v>178</v>
      </c>
      <c r="F6" s="52">
        <v>50.0</v>
      </c>
      <c r="G6" s="52">
        <v>24.750000000000004</v>
      </c>
      <c r="H6" s="52">
        <f t="shared" si="1"/>
        <v>-25.25</v>
      </c>
      <c r="I6" s="52">
        <v>18.068175895765485</v>
      </c>
      <c r="J6" s="52">
        <v>18.068175895765467</v>
      </c>
      <c r="K6" s="52">
        <f t="shared" si="2"/>
        <v>0</v>
      </c>
      <c r="L6" s="52">
        <v>69.69988572801287</v>
      </c>
      <c r="M6" s="52">
        <v>73.38023810872885</v>
      </c>
      <c r="N6" s="52">
        <f t="shared" si="3"/>
        <v>3.680352381</v>
      </c>
      <c r="O6" s="52">
        <v>39.96284167566197</v>
      </c>
      <c r="P6" s="52">
        <v>33.36963127972635</v>
      </c>
      <c r="Q6" s="52">
        <f t="shared" si="4"/>
        <v>-6.593210396</v>
      </c>
      <c r="R6" s="52">
        <v>1.9999999999999745</v>
      </c>
      <c r="S6" s="52">
        <v>2.000000000000004</v>
      </c>
      <c r="T6" s="52" t="s">
        <v>203</v>
      </c>
      <c r="U6" s="52" t="s">
        <v>186</v>
      </c>
      <c r="V6" s="52">
        <v>0.0</v>
      </c>
      <c r="W6" s="52">
        <v>0.0</v>
      </c>
      <c r="X6" s="52">
        <f t="shared" si="5"/>
        <v>0</v>
      </c>
      <c r="Y6" s="51" t="str">
        <f t="shared" si="6"/>
        <v>Empate nutricional</v>
      </c>
    </row>
    <row r="7" ht="15.0" customHeight="1">
      <c r="A7" s="51">
        <v>32.0</v>
      </c>
      <c r="B7" s="51" t="s">
        <v>219</v>
      </c>
      <c r="C7" s="51" t="s">
        <v>192</v>
      </c>
      <c r="D7" s="51" t="s">
        <v>178</v>
      </c>
      <c r="E7" s="51" t="s">
        <v>178</v>
      </c>
      <c r="F7" s="52">
        <v>50.0</v>
      </c>
      <c r="G7" s="52">
        <v>7.425000000000001</v>
      </c>
      <c r="H7" s="52">
        <f t="shared" si="1"/>
        <v>-42.575</v>
      </c>
      <c r="I7" s="52">
        <v>15.80787234042553</v>
      </c>
      <c r="J7" s="52">
        <v>15.807872340425499</v>
      </c>
      <c r="K7" s="52">
        <f t="shared" si="2"/>
        <v>0</v>
      </c>
      <c r="L7" s="52">
        <v>65.95744680851062</v>
      </c>
      <c r="M7" s="52">
        <v>66.3923163254492</v>
      </c>
      <c r="N7" s="52">
        <f t="shared" si="3"/>
        <v>0.4348695169</v>
      </c>
      <c r="O7" s="52">
        <v>45.055844518427435</v>
      </c>
      <c r="P7" s="52">
        <v>41.908035091542466</v>
      </c>
      <c r="Q7" s="52">
        <f t="shared" si="4"/>
        <v>-3.147809427</v>
      </c>
      <c r="R7" s="52">
        <v>2.00392491544644</v>
      </c>
      <c r="S7" s="52">
        <v>2.499999999999999</v>
      </c>
      <c r="T7" s="52" t="s">
        <v>186</v>
      </c>
      <c r="U7" s="52" t="s">
        <v>186</v>
      </c>
      <c r="V7" s="52">
        <v>0.0</v>
      </c>
      <c r="W7" s="52">
        <v>0.0</v>
      </c>
      <c r="X7" s="52">
        <f t="shared" si="5"/>
        <v>0</v>
      </c>
      <c r="Y7" s="51" t="str">
        <f t="shared" si="6"/>
        <v>Empate nutricional</v>
      </c>
    </row>
    <row r="8" ht="15.0" customHeight="1">
      <c r="A8" s="51">
        <v>84.0</v>
      </c>
      <c r="B8" s="51" t="s">
        <v>223</v>
      </c>
      <c r="C8" s="51" t="s">
        <v>192</v>
      </c>
      <c r="D8" s="51" t="s">
        <v>178</v>
      </c>
      <c r="E8" s="51" t="s">
        <v>178</v>
      </c>
      <c r="F8" s="52">
        <v>50.0</v>
      </c>
      <c r="G8" s="52">
        <v>47.5</v>
      </c>
      <c r="H8" s="52">
        <f t="shared" si="1"/>
        <v>-2.5</v>
      </c>
      <c r="I8" s="52">
        <v>18.676868686868684</v>
      </c>
      <c r="J8" s="52">
        <v>18.676868686868698</v>
      </c>
      <c r="K8" s="52">
        <f t="shared" si="2"/>
        <v>0</v>
      </c>
      <c r="L8" s="52">
        <v>71.74781556919221</v>
      </c>
      <c r="M8" s="52">
        <v>72.309870884758</v>
      </c>
      <c r="N8" s="52">
        <f t="shared" si="3"/>
        <v>0.5620553156</v>
      </c>
      <c r="O8" s="52">
        <v>34.72712713510935</v>
      </c>
      <c r="P8" s="52">
        <v>33.70130823433966</v>
      </c>
      <c r="Q8" s="52">
        <f t="shared" si="4"/>
        <v>-1.025818901</v>
      </c>
      <c r="R8" s="52">
        <v>2.2364673837628177</v>
      </c>
      <c r="S8" s="52">
        <v>2.2276752408433844</v>
      </c>
      <c r="T8" s="52" t="s">
        <v>186</v>
      </c>
      <c r="U8" s="52" t="s">
        <v>186</v>
      </c>
      <c r="V8" s="52">
        <v>1.0</v>
      </c>
      <c r="W8" s="52">
        <v>1.0</v>
      </c>
      <c r="X8" s="52">
        <f t="shared" si="5"/>
        <v>0</v>
      </c>
      <c r="Y8" s="51" t="str">
        <f t="shared" si="6"/>
        <v>Empate nutricional</v>
      </c>
    </row>
    <row r="9" ht="15.0" customHeight="1">
      <c r="A9" s="51">
        <v>85.0</v>
      </c>
      <c r="B9" s="51" t="s">
        <v>227</v>
      </c>
      <c r="C9" s="51" t="s">
        <v>192</v>
      </c>
      <c r="D9" s="51" t="s">
        <v>178</v>
      </c>
      <c r="E9" s="51" t="s">
        <v>178</v>
      </c>
      <c r="F9" s="52">
        <v>50.0</v>
      </c>
      <c r="G9" s="52">
        <v>47.5</v>
      </c>
      <c r="H9" s="52">
        <f t="shared" si="1"/>
        <v>-2.5</v>
      </c>
      <c r="I9" s="52">
        <v>18.676868686868684</v>
      </c>
      <c r="J9" s="52">
        <v>18.676868686868698</v>
      </c>
      <c r="K9" s="52">
        <f t="shared" si="2"/>
        <v>0</v>
      </c>
      <c r="L9" s="52">
        <v>72.2946128629955</v>
      </c>
      <c r="M9" s="52">
        <v>72.85666817856132</v>
      </c>
      <c r="N9" s="52">
        <f t="shared" si="3"/>
        <v>0.5620553156</v>
      </c>
      <c r="O9" s="52">
        <v>34.94584375891236</v>
      </c>
      <c r="P9" s="52">
        <v>33.920024858142675</v>
      </c>
      <c r="Q9" s="52">
        <f t="shared" si="4"/>
        <v>-1.025818901</v>
      </c>
      <c r="R9" s="52">
        <v>2.055977821565407</v>
      </c>
      <c r="S9" s="52">
        <v>2.0485451616752792</v>
      </c>
      <c r="T9" s="52" t="s">
        <v>186</v>
      </c>
      <c r="U9" s="52" t="s">
        <v>186</v>
      </c>
      <c r="V9" s="52">
        <v>1.0</v>
      </c>
      <c r="W9" s="52">
        <v>1.0</v>
      </c>
      <c r="X9" s="52">
        <f t="shared" si="5"/>
        <v>0</v>
      </c>
      <c r="Y9" s="51" t="str">
        <f t="shared" si="6"/>
        <v>Empate nutricional</v>
      </c>
    </row>
    <row r="10" ht="15.0" customHeight="1">
      <c r="A10" s="51">
        <v>86.0</v>
      </c>
      <c r="B10" s="51" t="s">
        <v>231</v>
      </c>
      <c r="C10" s="51" t="s">
        <v>192</v>
      </c>
      <c r="D10" s="51" t="s">
        <v>178</v>
      </c>
      <c r="E10" s="51" t="s">
        <v>178</v>
      </c>
      <c r="F10" s="52">
        <v>50.0</v>
      </c>
      <c r="G10" s="52">
        <v>47.5</v>
      </c>
      <c r="H10" s="52">
        <f t="shared" si="1"/>
        <v>-2.5</v>
      </c>
      <c r="I10" s="52">
        <v>18.680000000000003</v>
      </c>
      <c r="J10" s="52">
        <v>18.679999999999993</v>
      </c>
      <c r="K10" s="52">
        <f t="shared" si="2"/>
        <v>0</v>
      </c>
      <c r="L10" s="52">
        <v>72.29424967835273</v>
      </c>
      <c r="M10" s="52">
        <v>72.85630499391853</v>
      </c>
      <c r="N10" s="52">
        <f t="shared" si="3"/>
        <v>0.5620553156</v>
      </c>
      <c r="O10" s="52">
        <v>34.945930107519835</v>
      </c>
      <c r="P10" s="52">
        <v>33.92011120675015</v>
      </c>
      <c r="Q10" s="52">
        <f t="shared" si="4"/>
        <v>-1.025818901</v>
      </c>
      <c r="R10" s="52">
        <v>2.0558056667610036</v>
      </c>
      <c r="S10" s="52">
        <v>2.0483742492987065</v>
      </c>
      <c r="T10" s="52" t="s">
        <v>186</v>
      </c>
      <c r="U10" s="52" t="s">
        <v>186</v>
      </c>
      <c r="V10" s="52">
        <v>1.0</v>
      </c>
      <c r="W10" s="52">
        <v>1.0</v>
      </c>
      <c r="X10" s="52">
        <f t="shared" si="5"/>
        <v>0</v>
      </c>
      <c r="Y10" s="51" t="str">
        <f t="shared" si="6"/>
        <v>Empate nutricional</v>
      </c>
    </row>
    <row r="11" ht="15.0" customHeight="1">
      <c r="A11" s="51">
        <v>87.0</v>
      </c>
      <c r="B11" s="51" t="s">
        <v>234</v>
      </c>
      <c r="C11" s="51" t="s">
        <v>192</v>
      </c>
      <c r="D11" s="51" t="s">
        <v>178</v>
      </c>
      <c r="E11" s="51" t="s">
        <v>178</v>
      </c>
      <c r="F11" s="52">
        <v>50.0</v>
      </c>
      <c r="G11" s="52">
        <v>47.025</v>
      </c>
      <c r="H11" s="52">
        <f t="shared" si="1"/>
        <v>-2.975</v>
      </c>
      <c r="I11" s="52">
        <v>18.680000000000003</v>
      </c>
      <c r="J11" s="52">
        <v>18.679999999999982</v>
      </c>
      <c r="K11" s="52">
        <f t="shared" si="2"/>
        <v>0</v>
      </c>
      <c r="L11" s="52">
        <v>71.42269502010609</v>
      </c>
      <c r="M11" s="52">
        <v>72.0915408456294</v>
      </c>
      <c r="N11" s="52">
        <f t="shared" si="3"/>
        <v>0.6688458255</v>
      </c>
      <c r="O11" s="52">
        <v>34.804425851433614</v>
      </c>
      <c r="P11" s="52">
        <v>33.58370135951769</v>
      </c>
      <c r="Q11" s="52">
        <f t="shared" si="4"/>
        <v>-1.220724492</v>
      </c>
      <c r="R11" s="52">
        <v>2.0678446650404907</v>
      </c>
      <c r="S11" s="52">
        <v>2.0589037655394624</v>
      </c>
      <c r="T11" s="52" t="s">
        <v>186</v>
      </c>
      <c r="U11" s="52" t="s">
        <v>186</v>
      </c>
      <c r="V11" s="52">
        <v>1.0</v>
      </c>
      <c r="W11" s="52">
        <v>1.0</v>
      </c>
      <c r="X11" s="52">
        <f t="shared" si="5"/>
        <v>0</v>
      </c>
      <c r="Y11" s="51" t="str">
        <f t="shared" si="6"/>
        <v>Empate nutricional</v>
      </c>
    </row>
    <row r="12" ht="15.0" customHeight="1">
      <c r="A12" s="51">
        <v>88.0</v>
      </c>
      <c r="B12" s="51" t="s">
        <v>237</v>
      </c>
      <c r="C12" s="51" t="s">
        <v>192</v>
      </c>
      <c r="D12" s="51" t="s">
        <v>178</v>
      </c>
      <c r="E12" s="51" t="s">
        <v>178</v>
      </c>
      <c r="F12" s="52">
        <v>50.0</v>
      </c>
      <c r="G12" s="52">
        <v>44.55</v>
      </c>
      <c r="H12" s="52">
        <f t="shared" si="1"/>
        <v>-5.45</v>
      </c>
      <c r="I12" s="52">
        <v>12.406107382550337</v>
      </c>
      <c r="J12" s="52">
        <v>12.406107382550337</v>
      </c>
      <c r="K12" s="52">
        <f t="shared" si="2"/>
        <v>0</v>
      </c>
      <c r="L12" s="52">
        <v>68.717196677761</v>
      </c>
      <c r="M12" s="52">
        <v>69.41189021729564</v>
      </c>
      <c r="N12" s="52">
        <f t="shared" si="3"/>
        <v>0.6946935395</v>
      </c>
      <c r="O12" s="52">
        <v>40.572870910065376</v>
      </c>
      <c r="P12" s="52">
        <v>39.15472258867517</v>
      </c>
      <c r="Q12" s="52">
        <f t="shared" si="4"/>
        <v>-1.418148321</v>
      </c>
      <c r="R12" s="52">
        <v>2.0</v>
      </c>
      <c r="S12" s="52">
        <v>1.9999999999999991</v>
      </c>
      <c r="T12" s="52" t="s">
        <v>186</v>
      </c>
      <c r="U12" s="52" t="s">
        <v>203</v>
      </c>
      <c r="V12" s="52">
        <v>0.0</v>
      </c>
      <c r="W12" s="52">
        <v>0.0</v>
      </c>
      <c r="X12" s="52">
        <f t="shared" si="5"/>
        <v>0</v>
      </c>
      <c r="Y12" s="51" t="str">
        <f t="shared" si="6"/>
        <v>Empate nutricional</v>
      </c>
    </row>
    <row r="13" ht="15.0" customHeight="1">
      <c r="A13" s="51">
        <v>89.0</v>
      </c>
      <c r="B13" s="51" t="s">
        <v>250</v>
      </c>
      <c r="C13" s="51" t="s">
        <v>192</v>
      </c>
      <c r="D13" s="51" t="s">
        <v>178</v>
      </c>
      <c r="E13" s="51" t="s">
        <v>178</v>
      </c>
      <c r="F13" s="52">
        <v>50.0</v>
      </c>
      <c r="G13" s="52">
        <v>47.5</v>
      </c>
      <c r="H13" s="52">
        <f t="shared" si="1"/>
        <v>-2.5</v>
      </c>
      <c r="I13" s="52">
        <v>18.676868686868637</v>
      </c>
      <c r="J13" s="52">
        <v>18.67686868686869</v>
      </c>
      <c r="K13" s="52">
        <f t="shared" si="2"/>
        <v>0</v>
      </c>
      <c r="L13" s="52">
        <v>71.73951799238768</v>
      </c>
      <c r="M13" s="52">
        <v>72.30142585825826</v>
      </c>
      <c r="N13" s="52">
        <f t="shared" si="3"/>
        <v>0.5619078659</v>
      </c>
      <c r="O13" s="52">
        <v>34.725779953470266</v>
      </c>
      <c r="P13" s="52">
        <v>33.69993711299785</v>
      </c>
      <c r="Q13" s="52">
        <f t="shared" si="4"/>
        <v>-1.02584284</v>
      </c>
      <c r="R13" s="52">
        <v>2.2348652378489584</v>
      </c>
      <c r="S13" s="52">
        <v>2.2260574359802345</v>
      </c>
      <c r="T13" s="52" t="s">
        <v>186</v>
      </c>
      <c r="U13" s="52" t="s">
        <v>186</v>
      </c>
      <c r="V13" s="52">
        <v>1.0</v>
      </c>
      <c r="W13" s="52">
        <v>1.0</v>
      </c>
      <c r="X13" s="52">
        <f t="shared" si="5"/>
        <v>0</v>
      </c>
      <c r="Y13" s="51" t="str">
        <f t="shared" si="6"/>
        <v>Empate nutricional</v>
      </c>
    </row>
    <row r="14" ht="15.0" customHeight="1">
      <c r="A14" s="51">
        <v>91.0</v>
      </c>
      <c r="B14" s="51" t="s">
        <v>261</v>
      </c>
      <c r="C14" s="51" t="s">
        <v>192</v>
      </c>
      <c r="D14" s="51" t="s">
        <v>178</v>
      </c>
      <c r="E14" s="51" t="s">
        <v>178</v>
      </c>
      <c r="F14" s="52">
        <v>50.0</v>
      </c>
      <c r="G14" s="52">
        <v>39.6</v>
      </c>
      <c r="H14" s="52">
        <f t="shared" si="1"/>
        <v>-10.4</v>
      </c>
      <c r="I14" s="52">
        <v>18.69686868686869</v>
      </c>
      <c r="J14" s="52">
        <v>18.676868734380818</v>
      </c>
      <c r="K14" s="52">
        <f t="shared" si="2"/>
        <v>-0.01999995249</v>
      </c>
      <c r="L14" s="52">
        <v>70.75730446557516</v>
      </c>
      <c r="M14" s="52">
        <v>73.06626682262333</v>
      </c>
      <c r="N14" s="52">
        <f t="shared" si="3"/>
        <v>2.308962357</v>
      </c>
      <c r="O14" s="52">
        <v>34.697176902293606</v>
      </c>
      <c r="P14" s="52">
        <v>30.4241032597141</v>
      </c>
      <c r="Q14" s="52">
        <f t="shared" si="4"/>
        <v>-4.273073643</v>
      </c>
      <c r="R14" s="52">
        <v>3.0</v>
      </c>
      <c r="S14" s="52">
        <v>2.9999999992907607</v>
      </c>
      <c r="T14" s="52" t="s">
        <v>203</v>
      </c>
      <c r="U14" s="52" t="s">
        <v>203</v>
      </c>
      <c r="V14" s="52">
        <v>1.0</v>
      </c>
      <c r="W14" s="52">
        <v>1.0</v>
      </c>
      <c r="X14" s="52">
        <f t="shared" si="5"/>
        <v>0</v>
      </c>
      <c r="Y14" s="51" t="str">
        <f t="shared" si="6"/>
        <v>Empate nutricional</v>
      </c>
    </row>
    <row r="15" ht="15.0" customHeight="1">
      <c r="A15" s="51">
        <v>92.0</v>
      </c>
      <c r="B15" s="51" t="s">
        <v>267</v>
      </c>
      <c r="C15" s="51" t="s">
        <v>192</v>
      </c>
      <c r="D15" s="51" t="s">
        <v>178</v>
      </c>
      <c r="E15" s="51" t="s">
        <v>178</v>
      </c>
      <c r="F15" s="52">
        <v>50.0</v>
      </c>
      <c r="G15" s="52">
        <v>37.125</v>
      </c>
      <c r="H15" s="52">
        <f t="shared" si="1"/>
        <v>-12.875</v>
      </c>
      <c r="I15" s="52">
        <v>18.67686868686869</v>
      </c>
      <c r="J15" s="52">
        <v>18.6768686868687</v>
      </c>
      <c r="K15" s="52">
        <f t="shared" si="2"/>
        <v>0</v>
      </c>
      <c r="L15" s="52">
        <v>67.54537296702371</v>
      </c>
      <c r="M15" s="52">
        <v>71.39901242903409</v>
      </c>
      <c r="N15" s="52">
        <f t="shared" si="3"/>
        <v>3.853639462</v>
      </c>
      <c r="O15" s="52">
        <v>39.36352831113879</v>
      </c>
      <c r="P15" s="52">
        <v>32.90016491711925</v>
      </c>
      <c r="Q15" s="52">
        <f t="shared" si="4"/>
        <v>-6.463363394</v>
      </c>
      <c r="R15" s="52">
        <v>2.000000000000041</v>
      </c>
      <c r="S15" s="52">
        <v>1.9999999999999818</v>
      </c>
      <c r="T15" s="52" t="s">
        <v>186</v>
      </c>
      <c r="U15" s="52" t="s">
        <v>203</v>
      </c>
      <c r="V15" s="52">
        <v>1.0</v>
      </c>
      <c r="W15" s="52">
        <v>1.0</v>
      </c>
      <c r="X15" s="52">
        <f t="shared" si="5"/>
        <v>0</v>
      </c>
      <c r="Y15" s="51" t="str">
        <f t="shared" si="6"/>
        <v>Empate nutricional</v>
      </c>
    </row>
    <row r="16" ht="15.0" customHeight="1">
      <c r="A16" s="51">
        <v>99.0</v>
      </c>
      <c r="B16" s="51" t="s">
        <v>273</v>
      </c>
      <c r="C16" s="51" t="s">
        <v>192</v>
      </c>
      <c r="D16" s="51" t="s">
        <v>178</v>
      </c>
      <c r="E16" s="51" t="s">
        <v>178</v>
      </c>
      <c r="F16" s="52">
        <v>50.0</v>
      </c>
      <c r="G16" s="52">
        <v>47.5</v>
      </c>
      <c r="H16" s="52">
        <f t="shared" si="1"/>
        <v>-2.5</v>
      </c>
      <c r="I16" s="52">
        <v>18.676868686868676</v>
      </c>
      <c r="J16" s="52">
        <v>18.67686868686865</v>
      </c>
      <c r="K16" s="52">
        <f t="shared" si="2"/>
        <v>0</v>
      </c>
      <c r="L16" s="52">
        <v>71.74781556919221</v>
      </c>
      <c r="M16" s="52">
        <v>72.30987088475801</v>
      </c>
      <c r="N16" s="52">
        <f t="shared" si="3"/>
        <v>0.5620553156</v>
      </c>
      <c r="O16" s="52">
        <v>34.72712713510935</v>
      </c>
      <c r="P16" s="52">
        <v>33.70130823433966</v>
      </c>
      <c r="Q16" s="52">
        <f t="shared" si="4"/>
        <v>-1.025818901</v>
      </c>
      <c r="R16" s="52">
        <v>2.236467383762814</v>
      </c>
      <c r="S16" s="52">
        <v>2.2276752408433707</v>
      </c>
      <c r="T16" s="52" t="s">
        <v>186</v>
      </c>
      <c r="U16" s="52" t="s">
        <v>186</v>
      </c>
      <c r="V16" s="52">
        <v>1.0</v>
      </c>
      <c r="W16" s="52">
        <v>1.0</v>
      </c>
      <c r="X16" s="52">
        <f t="shared" si="5"/>
        <v>0</v>
      </c>
      <c r="Y16" s="51" t="str">
        <f t="shared" si="6"/>
        <v>Empate nutricional</v>
      </c>
    </row>
    <row r="17" ht="15.0" customHeight="1">
      <c r="A17" s="53">
        <v>100.0</v>
      </c>
      <c r="B17" s="53" t="s">
        <v>294</v>
      </c>
      <c r="C17" s="53" t="s">
        <v>192</v>
      </c>
      <c r="D17" s="53" t="s">
        <v>178</v>
      </c>
      <c r="E17" s="53" t="s">
        <v>178</v>
      </c>
      <c r="F17" s="54">
        <v>50.0</v>
      </c>
      <c r="G17" s="54">
        <v>47.5</v>
      </c>
      <c r="H17" s="54">
        <f t="shared" si="1"/>
        <v>-2.5</v>
      </c>
      <c r="I17" s="54">
        <v>18.679999999999993</v>
      </c>
      <c r="J17" s="54">
        <v>18.68000000000001</v>
      </c>
      <c r="K17" s="54">
        <f t="shared" si="2"/>
        <v>0</v>
      </c>
      <c r="L17" s="54">
        <v>71.73915529992185</v>
      </c>
      <c r="M17" s="54">
        <v>72.30106316579237</v>
      </c>
      <c r="N17" s="54">
        <f t="shared" si="3"/>
        <v>0.5619078659</v>
      </c>
      <c r="O17" s="54">
        <v>34.725866381986826</v>
      </c>
      <c r="P17" s="54">
        <v>33.7000235415144</v>
      </c>
      <c r="Q17" s="54">
        <f t="shared" si="4"/>
        <v>-1.02584284</v>
      </c>
      <c r="R17" s="54">
        <v>2.234661918340274</v>
      </c>
      <c r="S17" s="54">
        <v>2.225855715841759</v>
      </c>
      <c r="T17" s="54" t="s">
        <v>186</v>
      </c>
      <c r="U17" s="54" t="s">
        <v>186</v>
      </c>
      <c r="V17" s="54">
        <v>1.0</v>
      </c>
      <c r="W17" s="54">
        <v>1.0</v>
      </c>
      <c r="X17" s="54">
        <f t="shared" si="5"/>
        <v>0</v>
      </c>
      <c r="Y17" s="53" t="str">
        <f t="shared" si="6"/>
        <v>Empate nutricional</v>
      </c>
    </row>
    <row r="18" ht="15.0" customHeight="1"/>
    <row r="19" ht="15.0" customHeight="1"/>
    <row r="20" ht="15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conditionalFormatting sqref="D2:E20">
    <cfRule type="containsText" dxfId="5" priority="1" operator="containsText" text="ERRO">
      <formula>NOT(ISERROR(SEARCH(("ERRO"),(D2))))</formula>
    </cfRule>
  </conditionalFormatting>
  <conditionalFormatting sqref="T2:U20">
    <cfRule type="containsText" dxfId="6" priority="2" operator="containsText" text="PREFERENCIAL">
      <formula>NOT(ISERROR(SEARCH(("PREFERENCIAL"),(T2))))</formula>
    </cfRule>
  </conditionalFormatting>
  <conditionalFormatting sqref="T2:U20">
    <cfRule type="containsText" dxfId="5" priority="3" operator="containsText" text="FORA">
      <formula>NOT(ISERROR(SEARCH(("FORA"),(T2))))</formula>
    </cfRule>
  </conditionalFormatting>
  <conditionalFormatting sqref="X2:X20">
    <cfRule type="cellIs" dxfId="7" priority="4" operator="lessThan">
      <formula>0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28.0"/>
    <col customWidth="1" min="3" max="3" width="14.0"/>
    <col customWidth="1" min="4" max="4" width="28.0"/>
    <col customWidth="1" min="5" max="5" width="10.0"/>
    <col customWidth="1" min="6" max="6" width="22.0"/>
    <col customWidth="1" min="7" max="7" width="18.0"/>
    <col customWidth="1" min="8" max="8" width="11.0"/>
    <col customWidth="1" min="9" max="10" width="13.0"/>
    <col customWidth="1" min="11" max="11" width="17.0"/>
    <col customWidth="1" min="12" max="12" width="20.0"/>
    <col customWidth="1" min="13" max="13" width="22.0"/>
    <col customWidth="1" min="14" max="14" width="13.0"/>
    <col customWidth="1" min="15" max="21" width="10.0"/>
    <col customWidth="1" min="22" max="22" width="16.0"/>
    <col customWidth="1" min="23" max="23" width="12.0"/>
    <col customWidth="1" min="24" max="24" width="48.0"/>
    <col customWidth="1" min="25" max="25" width="16.0"/>
    <col customWidth="1" min="26" max="26" width="30.0"/>
    <col customWidth="1" min="27" max="27" width="58.0"/>
  </cols>
  <sheetData>
    <row r="1" ht="15.0" customHeight="1">
      <c r="A1" s="49" t="s">
        <v>238</v>
      </c>
      <c r="B1" s="49" t="s">
        <v>142</v>
      </c>
      <c r="C1" s="49" t="s">
        <v>239</v>
      </c>
      <c r="D1" s="49" t="s">
        <v>73</v>
      </c>
      <c r="E1" s="49" t="s">
        <v>240</v>
      </c>
      <c r="F1" s="49" t="s">
        <v>143</v>
      </c>
      <c r="G1" s="49" t="s">
        <v>241</v>
      </c>
      <c r="H1" s="49" t="s">
        <v>242</v>
      </c>
      <c r="I1" s="49" t="s">
        <v>243</v>
      </c>
      <c r="J1" s="49" t="s">
        <v>244</v>
      </c>
      <c r="K1" s="49" t="s">
        <v>245</v>
      </c>
      <c r="L1" s="49" t="s">
        <v>247</v>
      </c>
      <c r="M1" s="49" t="s">
        <v>248</v>
      </c>
      <c r="N1" s="49" t="s">
        <v>249</v>
      </c>
      <c r="O1" s="49" t="s">
        <v>33</v>
      </c>
      <c r="P1" s="49" t="s">
        <v>35</v>
      </c>
      <c r="Q1" s="49" t="s">
        <v>36</v>
      </c>
      <c r="R1" s="49" t="s">
        <v>40</v>
      </c>
      <c r="S1" s="49" t="s">
        <v>37</v>
      </c>
      <c r="T1" s="49" t="s">
        <v>38</v>
      </c>
      <c r="U1" s="49" t="s">
        <v>39</v>
      </c>
      <c r="V1" s="49" t="s">
        <v>251</v>
      </c>
      <c r="W1" s="49" t="s">
        <v>252</v>
      </c>
      <c r="X1" s="49" t="s">
        <v>253</v>
      </c>
      <c r="Y1" s="49" t="s">
        <v>254</v>
      </c>
      <c r="Z1" s="49" t="s">
        <v>255</v>
      </c>
      <c r="AA1" s="49" t="s">
        <v>256</v>
      </c>
    </row>
    <row r="2" ht="15.0" customHeight="1">
      <c r="A2" s="51">
        <v>10.0</v>
      </c>
      <c r="B2" s="51" t="s">
        <v>257</v>
      </c>
      <c r="C2" s="51" t="s">
        <v>258</v>
      </c>
      <c r="D2" s="51" t="s">
        <v>259</v>
      </c>
      <c r="E2" s="51" t="s">
        <v>260</v>
      </c>
      <c r="F2" s="51" t="s">
        <v>177</v>
      </c>
      <c r="G2" s="51" t="s">
        <v>262</v>
      </c>
      <c r="H2" s="52">
        <v>70.0</v>
      </c>
      <c r="I2" s="52">
        <v>-0.031</v>
      </c>
      <c r="J2" s="52">
        <v>1.981</v>
      </c>
      <c r="K2" s="52">
        <v>50.0</v>
      </c>
      <c r="L2" s="52">
        <v>50.0</v>
      </c>
      <c r="M2" s="52">
        <v>50.0</v>
      </c>
      <c r="N2" s="52">
        <v>100.0</v>
      </c>
      <c r="O2" s="52">
        <v>14.74</v>
      </c>
      <c r="P2" s="52">
        <v>68.71347612009345</v>
      </c>
      <c r="Q2" s="52">
        <v>33.22500753149868</v>
      </c>
      <c r="R2" s="52">
        <v>2.1761611042835693</v>
      </c>
      <c r="S2" s="52">
        <v>0.6966178697627449</v>
      </c>
      <c r="T2" s="52">
        <v>0.34830893488137277</v>
      </c>
      <c r="U2" s="52">
        <v>1.999999999999998</v>
      </c>
      <c r="V2" s="51" t="s">
        <v>203</v>
      </c>
      <c r="W2" s="51">
        <v>0.0</v>
      </c>
      <c r="X2" s="51" t="s">
        <v>264</v>
      </c>
      <c r="Y2" s="51" t="s">
        <v>260</v>
      </c>
      <c r="Z2" s="51" t="s">
        <v>265</v>
      </c>
      <c r="AA2" s="51"/>
    </row>
    <row r="3" ht="15.0" customHeight="1">
      <c r="A3" s="51">
        <v>10.0</v>
      </c>
      <c r="B3" s="51" t="s">
        <v>257</v>
      </c>
      <c r="C3" s="51" t="s">
        <v>258</v>
      </c>
      <c r="D3" s="51" t="s">
        <v>266</v>
      </c>
      <c r="E3" s="51" t="s">
        <v>260</v>
      </c>
      <c r="F3" s="51" t="s">
        <v>177</v>
      </c>
      <c r="G3" s="51" t="s">
        <v>262</v>
      </c>
      <c r="H3" s="52">
        <v>70.0</v>
      </c>
      <c r="I3" s="52">
        <v>-0.031</v>
      </c>
      <c r="J3" s="52">
        <v>1.981</v>
      </c>
      <c r="K3" s="52"/>
      <c r="L3" s="52">
        <v>47.5</v>
      </c>
      <c r="M3" s="52">
        <v>52.5</v>
      </c>
      <c r="N3" s="52">
        <v>100.0</v>
      </c>
      <c r="O3" s="52">
        <v>14.74</v>
      </c>
      <c r="P3" s="52">
        <v>69.17261740316228</v>
      </c>
      <c r="Q3" s="52">
        <v>32.09393521223619</v>
      </c>
      <c r="R3" s="52">
        <v>2.124110627639502</v>
      </c>
      <c r="S3" s="52">
        <v>0.6966178697627479</v>
      </c>
      <c r="T3" s="52">
        <v>0.34830893488137316</v>
      </c>
      <c r="U3" s="52">
        <v>2.0000000000000044</v>
      </c>
      <c r="V3" s="51" t="s">
        <v>186</v>
      </c>
      <c r="W3" s="51">
        <v>0.0</v>
      </c>
      <c r="X3" s="51" t="s">
        <v>264</v>
      </c>
      <c r="Y3" s="51" t="s">
        <v>260</v>
      </c>
      <c r="Z3" s="51" t="s">
        <v>270</v>
      </c>
      <c r="AA3" s="51"/>
    </row>
    <row r="4" ht="15.0" customHeight="1">
      <c r="A4" s="51">
        <v>11.0</v>
      </c>
      <c r="B4" s="51" t="s">
        <v>174</v>
      </c>
      <c r="C4" s="51" t="s">
        <v>258</v>
      </c>
      <c r="D4" s="51" t="s">
        <v>259</v>
      </c>
      <c r="E4" s="51" t="s">
        <v>260</v>
      </c>
      <c r="F4" s="51" t="s">
        <v>177</v>
      </c>
      <c r="G4" s="51" t="s">
        <v>262</v>
      </c>
      <c r="H4" s="52">
        <v>20.0</v>
      </c>
      <c r="I4" s="52">
        <v>0.2</v>
      </c>
      <c r="J4" s="52">
        <v>0.594</v>
      </c>
      <c r="K4" s="52">
        <v>50.0</v>
      </c>
      <c r="L4" s="52">
        <v>50.0</v>
      </c>
      <c r="M4" s="52">
        <v>50.0</v>
      </c>
      <c r="N4" s="52">
        <v>100.0</v>
      </c>
      <c r="O4" s="52">
        <v>18.676868686868687</v>
      </c>
      <c r="P4" s="52">
        <v>71.40963177643876</v>
      </c>
      <c r="Q4" s="52">
        <v>37.53119849506127</v>
      </c>
      <c r="R4" s="52">
        <v>5.137374682738308</v>
      </c>
      <c r="S4" s="52">
        <v>1.1567070581379553</v>
      </c>
      <c r="T4" s="52">
        <v>0.5783535290689771</v>
      </c>
      <c r="U4" s="52">
        <v>2.0000000000000018</v>
      </c>
      <c r="V4" s="51" t="s">
        <v>186</v>
      </c>
      <c r="W4" s="51">
        <v>0.0</v>
      </c>
      <c r="X4" s="51" t="s">
        <v>264</v>
      </c>
      <c r="Y4" s="51" t="s">
        <v>260</v>
      </c>
      <c r="Z4" s="51" t="s">
        <v>265</v>
      </c>
      <c r="AA4" s="51"/>
    </row>
    <row r="5" ht="15.0" customHeight="1">
      <c r="A5" s="51">
        <v>11.0</v>
      </c>
      <c r="B5" s="51" t="s">
        <v>174</v>
      </c>
      <c r="C5" s="51" t="s">
        <v>258</v>
      </c>
      <c r="D5" s="51" t="s">
        <v>266</v>
      </c>
      <c r="E5" s="51" t="s">
        <v>260</v>
      </c>
      <c r="F5" s="51" t="s">
        <v>177</v>
      </c>
      <c r="G5" s="51" t="s">
        <v>262</v>
      </c>
      <c r="H5" s="52">
        <v>20.0</v>
      </c>
      <c r="I5" s="52">
        <v>0.2</v>
      </c>
      <c r="J5" s="52">
        <v>0.594</v>
      </c>
      <c r="K5" s="52"/>
      <c r="L5" s="52">
        <v>40.0</v>
      </c>
      <c r="M5" s="52">
        <v>60.0</v>
      </c>
      <c r="N5" s="52">
        <v>100.0</v>
      </c>
      <c r="O5" s="52">
        <v>18.67686868686869</v>
      </c>
      <c r="P5" s="52">
        <v>73.01619411075771</v>
      </c>
      <c r="Q5" s="52">
        <v>33.57881613012969</v>
      </c>
      <c r="R5" s="52">
        <v>5.7744663196933494</v>
      </c>
      <c r="S5" s="52">
        <v>1.2844544218815095</v>
      </c>
      <c r="T5" s="52">
        <v>0.6422272109407555</v>
      </c>
      <c r="U5" s="52">
        <v>1.9999999999999976</v>
      </c>
      <c r="V5" s="51" t="s">
        <v>203</v>
      </c>
      <c r="W5" s="51">
        <v>0.0</v>
      </c>
      <c r="X5" s="51" t="s">
        <v>264</v>
      </c>
      <c r="Y5" s="51" t="s">
        <v>260</v>
      </c>
      <c r="Z5" s="51" t="s">
        <v>270</v>
      </c>
      <c r="AA5" s="51"/>
    </row>
    <row r="6" ht="15.0" customHeight="1">
      <c r="A6" s="51">
        <v>14.0</v>
      </c>
      <c r="B6" s="51" t="s">
        <v>174</v>
      </c>
      <c r="C6" s="51" t="s">
        <v>258</v>
      </c>
      <c r="D6" s="51" t="s">
        <v>259</v>
      </c>
      <c r="E6" s="51" t="s">
        <v>260</v>
      </c>
      <c r="F6" s="51" t="s">
        <v>177</v>
      </c>
      <c r="G6" s="51" t="s">
        <v>262</v>
      </c>
      <c r="H6" s="52">
        <v>20.0</v>
      </c>
      <c r="I6" s="52">
        <v>0.2</v>
      </c>
      <c r="J6" s="52">
        <v>0.594</v>
      </c>
      <c r="K6" s="52">
        <v>50.0</v>
      </c>
      <c r="L6" s="52">
        <v>50.0</v>
      </c>
      <c r="M6" s="52">
        <v>50.0</v>
      </c>
      <c r="N6" s="52">
        <v>99.99999999999999</v>
      </c>
      <c r="O6" s="52">
        <v>18.6768686868687</v>
      </c>
      <c r="P6" s="52">
        <v>72.93371848489214</v>
      </c>
      <c r="Q6" s="52">
        <v>32.955881064390525</v>
      </c>
      <c r="R6" s="52">
        <v>3.2416515235131573</v>
      </c>
      <c r="S6" s="52">
        <v>0.622895622895628</v>
      </c>
      <c r="T6" s="52">
        <v>0.275785640558421</v>
      </c>
      <c r="U6" s="52">
        <v>2.258622391051129</v>
      </c>
      <c r="V6" s="51" t="s">
        <v>186</v>
      </c>
      <c r="W6" s="51">
        <v>1.0</v>
      </c>
      <c r="X6" s="51" t="s">
        <v>305</v>
      </c>
      <c r="Y6" s="51" t="s">
        <v>260</v>
      </c>
      <c r="Z6" s="51" t="s">
        <v>265</v>
      </c>
      <c r="AA6" s="51"/>
    </row>
    <row r="7" ht="15.0" customHeight="1">
      <c r="A7" s="51">
        <v>14.0</v>
      </c>
      <c r="B7" s="51" t="s">
        <v>174</v>
      </c>
      <c r="C7" s="51" t="s">
        <v>258</v>
      </c>
      <c r="D7" s="51" t="s">
        <v>266</v>
      </c>
      <c r="E7" s="51" t="s">
        <v>260</v>
      </c>
      <c r="F7" s="51" t="s">
        <v>177</v>
      </c>
      <c r="G7" s="51" t="s">
        <v>262</v>
      </c>
      <c r="H7" s="52">
        <v>20.0</v>
      </c>
      <c r="I7" s="52">
        <v>0.2</v>
      </c>
      <c r="J7" s="52">
        <v>0.594</v>
      </c>
      <c r="K7" s="52"/>
      <c r="L7" s="52">
        <v>52.25</v>
      </c>
      <c r="M7" s="52">
        <v>47.75</v>
      </c>
      <c r="N7" s="52">
        <v>100.0</v>
      </c>
      <c r="O7" s="52">
        <v>18.6768686868687</v>
      </c>
      <c r="P7" s="52">
        <v>72.4278687008829</v>
      </c>
      <c r="Q7" s="52">
        <v>33.879118075083234</v>
      </c>
      <c r="R7" s="52">
        <v>3.216312930854011</v>
      </c>
      <c r="S7" s="52">
        <v>0.6228956228956276</v>
      </c>
      <c r="T7" s="52">
        <v>0.2747963176154113</v>
      </c>
      <c r="U7" s="52">
        <v>2.2667538935779903</v>
      </c>
      <c r="V7" s="51" t="s">
        <v>186</v>
      </c>
      <c r="W7" s="51">
        <v>1.0</v>
      </c>
      <c r="X7" s="51" t="s">
        <v>306</v>
      </c>
      <c r="Y7" s="51" t="s">
        <v>260</v>
      </c>
      <c r="Z7" s="51" t="s">
        <v>270</v>
      </c>
      <c r="AA7" s="51"/>
    </row>
    <row r="8" ht="15.0" customHeight="1">
      <c r="A8" s="51">
        <v>17.0</v>
      </c>
      <c r="B8" s="51" t="s">
        <v>191</v>
      </c>
      <c r="C8" s="51" t="s">
        <v>258</v>
      </c>
      <c r="D8" s="51" t="s">
        <v>259</v>
      </c>
      <c r="E8" s="51" t="s">
        <v>260</v>
      </c>
      <c r="F8" s="51" t="s">
        <v>192</v>
      </c>
      <c r="G8" s="51" t="s">
        <v>308</v>
      </c>
      <c r="H8" s="52">
        <v>20.0</v>
      </c>
      <c r="I8" s="52">
        <v>0.2</v>
      </c>
      <c r="J8" s="52">
        <v>0.594</v>
      </c>
      <c r="K8" s="52">
        <v>50.0</v>
      </c>
      <c r="L8" s="52">
        <v>50.0</v>
      </c>
      <c r="M8" s="52">
        <v>50.0</v>
      </c>
      <c r="N8" s="52">
        <v>100.0</v>
      </c>
      <c r="O8" s="52">
        <v>18.68715</v>
      </c>
      <c r="P8" s="52">
        <v>71.727273</v>
      </c>
      <c r="Q8" s="52">
        <v>34.724269</v>
      </c>
      <c r="R8" s="52">
        <v>3.084068</v>
      </c>
      <c r="S8" s="52">
        <v>0.6311880000000001</v>
      </c>
      <c r="T8" s="52">
        <v>0.27856400000000003</v>
      </c>
      <c r="U8" s="52">
        <v>2.2658634999497425</v>
      </c>
      <c r="V8" s="51" t="s">
        <v>186</v>
      </c>
      <c r="W8" s="51">
        <v>1.0</v>
      </c>
      <c r="X8" s="51" t="s">
        <v>311</v>
      </c>
      <c r="Y8" s="51" t="s">
        <v>260</v>
      </c>
      <c r="Z8" s="51" t="s">
        <v>265</v>
      </c>
      <c r="AA8" s="51"/>
    </row>
    <row r="9" ht="15.0" customHeight="1">
      <c r="A9" s="51">
        <v>17.0</v>
      </c>
      <c r="B9" s="51" t="s">
        <v>191</v>
      </c>
      <c r="C9" s="51" t="s">
        <v>258</v>
      </c>
      <c r="D9" s="51" t="s">
        <v>266</v>
      </c>
      <c r="E9" s="51" t="s">
        <v>260</v>
      </c>
      <c r="F9" s="51" t="s">
        <v>192</v>
      </c>
      <c r="G9" s="51" t="s">
        <v>308</v>
      </c>
      <c r="H9" s="52">
        <v>20.0</v>
      </c>
      <c r="I9" s="52">
        <v>0.2</v>
      </c>
      <c r="J9" s="52">
        <v>0.594</v>
      </c>
      <c r="K9" s="52"/>
      <c r="L9" s="52">
        <v>50.00376977711704</v>
      </c>
      <c r="M9" s="52">
        <v>49.99623022288296</v>
      </c>
      <c r="N9" s="52">
        <v>100.0</v>
      </c>
      <c r="O9" s="52">
        <v>18.676868686868687</v>
      </c>
      <c r="P9" s="52">
        <v>71.729652860294</v>
      </c>
      <c r="Q9" s="52">
        <v>34.726352555812596</v>
      </c>
      <c r="R9" s="52">
        <v>3.084185994023764</v>
      </c>
      <c r="S9" s="52">
        <v>0.6311993093313512</v>
      </c>
      <c r="T9" s="52">
        <v>0.27857116257652237</v>
      </c>
      <c r="U9" s="52">
        <v>2.2658458380736493</v>
      </c>
      <c r="V9" s="51" t="s">
        <v>186</v>
      </c>
      <c r="W9" s="51">
        <v>1.0</v>
      </c>
      <c r="X9" s="51" t="s">
        <v>311</v>
      </c>
      <c r="Y9" s="51" t="s">
        <v>260</v>
      </c>
      <c r="Z9" s="51" t="s">
        <v>270</v>
      </c>
      <c r="AA9" s="51"/>
    </row>
    <row r="10" ht="15.0" customHeight="1">
      <c r="A10" s="51">
        <v>21.0</v>
      </c>
      <c r="B10" s="51" t="s">
        <v>200</v>
      </c>
      <c r="C10" s="51" t="s">
        <v>258</v>
      </c>
      <c r="D10" s="51" t="s">
        <v>259</v>
      </c>
      <c r="E10" s="51" t="s">
        <v>260</v>
      </c>
      <c r="F10" s="51" t="s">
        <v>192</v>
      </c>
      <c r="G10" s="51" t="s">
        <v>308</v>
      </c>
      <c r="H10" s="52">
        <v>20.0</v>
      </c>
      <c r="I10" s="52">
        <v>0.1</v>
      </c>
      <c r="J10" s="52">
        <v>0.596</v>
      </c>
      <c r="K10" s="52">
        <v>50.0</v>
      </c>
      <c r="L10" s="52">
        <v>50.0</v>
      </c>
      <c r="M10" s="52">
        <v>50.0</v>
      </c>
      <c r="N10" s="52">
        <v>100.0</v>
      </c>
      <c r="O10" s="52">
        <v>27.75864</v>
      </c>
      <c r="P10" s="52">
        <v>71.04196999999999</v>
      </c>
      <c r="Q10" s="52">
        <v>35.150929999999995</v>
      </c>
      <c r="R10" s="52">
        <v>2.42075</v>
      </c>
      <c r="S10" s="52">
        <v>0.68487</v>
      </c>
      <c r="T10" s="52">
        <v>0.37382999999999994</v>
      </c>
      <c r="U10" s="52">
        <v>1.832035952170773</v>
      </c>
      <c r="V10" s="51" t="s">
        <v>203</v>
      </c>
      <c r="W10" s="51">
        <v>1.0</v>
      </c>
      <c r="X10" s="51" t="s">
        <v>320</v>
      </c>
      <c r="Y10" s="51" t="s">
        <v>260</v>
      </c>
      <c r="Z10" s="51" t="s">
        <v>265</v>
      </c>
      <c r="AA10" s="51"/>
    </row>
    <row r="11" ht="15.0" customHeight="1">
      <c r="A11" s="51">
        <v>21.0</v>
      </c>
      <c r="B11" s="51" t="s">
        <v>200</v>
      </c>
      <c r="C11" s="51" t="s">
        <v>258</v>
      </c>
      <c r="D11" s="51" t="s">
        <v>266</v>
      </c>
      <c r="E11" s="51" t="s">
        <v>260</v>
      </c>
      <c r="F11" s="51" t="s">
        <v>192</v>
      </c>
      <c r="G11" s="51" t="s">
        <v>308</v>
      </c>
      <c r="H11" s="52">
        <v>20.0</v>
      </c>
      <c r="I11" s="52">
        <v>0.1</v>
      </c>
      <c r="J11" s="52">
        <v>0.596</v>
      </c>
      <c r="K11" s="52"/>
      <c r="L11" s="52">
        <v>86.39742737394471</v>
      </c>
      <c r="M11" s="52">
        <v>13.602572626055288</v>
      </c>
      <c r="N11" s="52">
        <v>100.0</v>
      </c>
      <c r="O11" s="52">
        <v>12.426107382550336</v>
      </c>
      <c r="P11" s="52">
        <v>64.71675278218572</v>
      </c>
      <c r="Q11" s="52">
        <v>49.68887352220395</v>
      </c>
      <c r="R11" s="52">
        <v>2.924784497760437</v>
      </c>
      <c r="S11" s="52">
        <v>0.6742807717878165</v>
      </c>
      <c r="T11" s="52">
        <v>0.23608977597901004</v>
      </c>
      <c r="U11" s="52">
        <v>2.8560354593574804</v>
      </c>
      <c r="V11" s="51" t="s">
        <v>203</v>
      </c>
      <c r="W11" s="51">
        <v>1.0</v>
      </c>
      <c r="X11" s="51" t="s">
        <v>326</v>
      </c>
      <c r="Y11" s="51" t="s">
        <v>260</v>
      </c>
      <c r="Z11" s="51" t="s">
        <v>270</v>
      </c>
      <c r="AA11" s="51"/>
    </row>
    <row r="12" ht="15.0" customHeight="1">
      <c r="A12" s="51">
        <v>28.0</v>
      </c>
      <c r="B12" s="51" t="s">
        <v>200</v>
      </c>
      <c r="C12" s="51" t="s">
        <v>258</v>
      </c>
      <c r="D12" s="51" t="s">
        <v>259</v>
      </c>
      <c r="E12" s="51" t="s">
        <v>260</v>
      </c>
      <c r="F12" s="51" t="s">
        <v>192</v>
      </c>
      <c r="G12" s="51" t="s">
        <v>308</v>
      </c>
      <c r="H12" s="52">
        <v>20.0</v>
      </c>
      <c r="I12" s="52">
        <v>0.2</v>
      </c>
      <c r="J12" s="52">
        <v>0.594</v>
      </c>
      <c r="K12" s="52">
        <v>50.0</v>
      </c>
      <c r="L12" s="52">
        <v>50.0</v>
      </c>
      <c r="M12" s="52">
        <v>50.0</v>
      </c>
      <c r="N12" s="52">
        <v>100.0</v>
      </c>
      <c r="O12" s="52">
        <v>18.676868686868684</v>
      </c>
      <c r="P12" s="52">
        <v>69.50603578173539</v>
      </c>
      <c r="Q12" s="52">
        <v>40.390926317716755</v>
      </c>
      <c r="R12" s="52">
        <v>2.882004099897659</v>
      </c>
      <c r="S12" s="52">
        <v>0.8417508417508389</v>
      </c>
      <c r="T12" s="52">
        <v>0.42087542087542085</v>
      </c>
      <c r="U12" s="52">
        <v>1.9999999999999933</v>
      </c>
      <c r="V12" s="51" t="s">
        <v>203</v>
      </c>
      <c r="W12" s="51">
        <v>0.0</v>
      </c>
      <c r="X12" s="51" t="s">
        <v>264</v>
      </c>
      <c r="Y12" s="51" t="s">
        <v>260</v>
      </c>
      <c r="Z12" s="51" t="s">
        <v>265</v>
      </c>
      <c r="AA12" s="51"/>
    </row>
    <row r="13" ht="24.0" customHeight="1">
      <c r="A13" s="51">
        <v>28.0</v>
      </c>
      <c r="B13" s="51" t="s">
        <v>200</v>
      </c>
      <c r="C13" s="51" t="s">
        <v>258</v>
      </c>
      <c r="D13" s="51" t="s">
        <v>266</v>
      </c>
      <c r="E13" s="51" t="s">
        <v>260</v>
      </c>
      <c r="F13" s="51" t="s">
        <v>192</v>
      </c>
      <c r="G13" s="51" t="s">
        <v>308</v>
      </c>
      <c r="H13" s="52">
        <v>20.0</v>
      </c>
      <c r="I13" s="52">
        <v>0.2</v>
      </c>
      <c r="J13" s="52">
        <v>0.594</v>
      </c>
      <c r="K13" s="52"/>
      <c r="L13" s="52">
        <v>27.225000000000005</v>
      </c>
      <c r="M13" s="52">
        <v>72.77499999999999</v>
      </c>
      <c r="N13" s="52">
        <v>100.0</v>
      </c>
      <c r="O13" s="52">
        <v>18.676868686868684</v>
      </c>
      <c r="P13" s="52">
        <v>73.0479882192308</v>
      </c>
      <c r="Q13" s="52">
        <v>33.87144808362406</v>
      </c>
      <c r="R13" s="52">
        <v>3.111592346804529</v>
      </c>
      <c r="S13" s="52">
        <v>0.9848002608480612</v>
      </c>
      <c r="T13" s="52">
        <v>0.4924001304240302</v>
      </c>
      <c r="U13" s="52">
        <v>2.0000000000000018</v>
      </c>
      <c r="V13" s="51" t="s">
        <v>186</v>
      </c>
      <c r="W13" s="51">
        <v>0.0</v>
      </c>
      <c r="X13" s="51" t="s">
        <v>264</v>
      </c>
      <c r="Y13" s="51" t="s">
        <v>260</v>
      </c>
      <c r="Z13" s="51" t="s">
        <v>270</v>
      </c>
      <c r="AA13" s="51"/>
    </row>
    <row r="14" ht="15.0" customHeight="1">
      <c r="A14" s="51">
        <v>29.0</v>
      </c>
      <c r="B14" s="51" t="s">
        <v>205</v>
      </c>
      <c r="C14" s="51" t="s">
        <v>258</v>
      </c>
      <c r="D14" s="51" t="s">
        <v>259</v>
      </c>
      <c r="E14" s="51" t="s">
        <v>260</v>
      </c>
      <c r="F14" s="51" t="s">
        <v>192</v>
      </c>
      <c r="G14" s="51" t="s">
        <v>308</v>
      </c>
      <c r="H14" s="52">
        <v>20.0</v>
      </c>
      <c r="I14" s="52">
        <v>0.15</v>
      </c>
      <c r="J14" s="52">
        <v>0.76</v>
      </c>
      <c r="K14" s="52">
        <v>50.0</v>
      </c>
      <c r="L14" s="52">
        <v>50.0</v>
      </c>
      <c r="M14" s="52">
        <v>50.0</v>
      </c>
      <c r="N14" s="52">
        <v>100.0</v>
      </c>
      <c r="O14" s="52">
        <v>12.234496547968634</v>
      </c>
      <c r="P14" s="52">
        <v>69.53748429133707</v>
      </c>
      <c r="Q14" s="52">
        <v>41.06090991799363</v>
      </c>
      <c r="R14" s="52">
        <v>3.27148894149797</v>
      </c>
      <c r="S14" s="52">
        <v>0.7751225631211796</v>
      </c>
      <c r="T14" s="52">
        <v>0.3875612815605897</v>
      </c>
      <c r="U14" s="52">
        <v>2.0000000000000004</v>
      </c>
      <c r="V14" s="51" t="s">
        <v>186</v>
      </c>
      <c r="W14" s="51">
        <v>0.0</v>
      </c>
      <c r="X14" s="51" t="s">
        <v>264</v>
      </c>
      <c r="Y14" s="51" t="s">
        <v>260</v>
      </c>
      <c r="Z14" s="51" t="s">
        <v>265</v>
      </c>
      <c r="AA14" s="51"/>
    </row>
    <row r="15" ht="15.0" customHeight="1">
      <c r="A15" s="51">
        <v>29.0</v>
      </c>
      <c r="B15" s="51" t="s">
        <v>205</v>
      </c>
      <c r="C15" s="51" t="s">
        <v>258</v>
      </c>
      <c r="D15" s="51" t="s">
        <v>266</v>
      </c>
      <c r="E15" s="51" t="s">
        <v>260</v>
      </c>
      <c r="F15" s="51" t="s">
        <v>192</v>
      </c>
      <c r="G15" s="51" t="s">
        <v>308</v>
      </c>
      <c r="H15" s="52">
        <v>20.0</v>
      </c>
      <c r="I15" s="52">
        <v>0.15</v>
      </c>
      <c r="J15" s="52">
        <v>0.76</v>
      </c>
      <c r="K15" s="52"/>
      <c r="L15" s="52">
        <v>22.275000000000002</v>
      </c>
      <c r="M15" s="52">
        <v>77.725</v>
      </c>
      <c r="N15" s="52">
        <v>100.0</v>
      </c>
      <c r="O15" s="52">
        <v>12.24684210526316</v>
      </c>
      <c r="P15" s="52">
        <v>72.99856219108821</v>
      </c>
      <c r="Q15" s="52">
        <v>33.77506205748412</v>
      </c>
      <c r="R15" s="52">
        <v>3.5142686119282867</v>
      </c>
      <c r="S15" s="52">
        <v>1.223985198177063</v>
      </c>
      <c r="T15" s="52">
        <v>0.489594079270826</v>
      </c>
      <c r="U15" s="52">
        <v>2.499999999999996</v>
      </c>
      <c r="V15" s="51" t="s">
        <v>186</v>
      </c>
      <c r="W15" s="51">
        <v>0.0</v>
      </c>
      <c r="X15" s="51" t="s">
        <v>264</v>
      </c>
      <c r="Y15" s="51" t="s">
        <v>260</v>
      </c>
      <c r="Z15" s="51" t="s">
        <v>270</v>
      </c>
      <c r="AA15" s="51"/>
    </row>
    <row r="16" ht="15.0" customHeight="1">
      <c r="A16" s="51">
        <v>30.0</v>
      </c>
      <c r="B16" s="51" t="s">
        <v>214</v>
      </c>
      <c r="C16" s="51" t="s">
        <v>258</v>
      </c>
      <c r="D16" s="51" t="s">
        <v>259</v>
      </c>
      <c r="E16" s="51" t="s">
        <v>260</v>
      </c>
      <c r="F16" s="51" t="s">
        <v>192</v>
      </c>
      <c r="G16" s="51" t="s">
        <v>308</v>
      </c>
      <c r="H16" s="52">
        <v>20.0</v>
      </c>
      <c r="I16" s="52">
        <v>0.2</v>
      </c>
      <c r="J16" s="52">
        <v>0.614</v>
      </c>
      <c r="K16" s="52">
        <v>50.0</v>
      </c>
      <c r="L16" s="52">
        <v>50.0</v>
      </c>
      <c r="M16" s="52">
        <v>50.0</v>
      </c>
      <c r="N16" s="52">
        <v>100.0</v>
      </c>
      <c r="O16" s="52">
        <v>18.068175895765485</v>
      </c>
      <c r="P16" s="52">
        <v>69.69988572801287</v>
      </c>
      <c r="Q16" s="52">
        <v>39.96284167566197</v>
      </c>
      <c r="R16" s="52">
        <v>2.9222801525651336</v>
      </c>
      <c r="S16" s="52">
        <v>0.8143322475569934</v>
      </c>
      <c r="T16" s="52">
        <v>0.4071661237785019</v>
      </c>
      <c r="U16" s="52">
        <v>1.9999999999999745</v>
      </c>
      <c r="V16" s="51" t="s">
        <v>203</v>
      </c>
      <c r="W16" s="51">
        <v>0.0</v>
      </c>
      <c r="X16" s="51" t="s">
        <v>264</v>
      </c>
      <c r="Y16" s="51" t="s">
        <v>260</v>
      </c>
      <c r="Z16" s="51" t="s">
        <v>265</v>
      </c>
      <c r="AA16" s="51"/>
    </row>
    <row r="17" ht="15.0" customHeight="1">
      <c r="A17" s="51">
        <v>30.0</v>
      </c>
      <c r="B17" s="51" t="s">
        <v>214</v>
      </c>
      <c r="C17" s="51" t="s">
        <v>258</v>
      </c>
      <c r="D17" s="51" t="s">
        <v>266</v>
      </c>
      <c r="E17" s="51" t="s">
        <v>260</v>
      </c>
      <c r="F17" s="51" t="s">
        <v>192</v>
      </c>
      <c r="G17" s="51" t="s">
        <v>308</v>
      </c>
      <c r="H17" s="52">
        <v>20.0</v>
      </c>
      <c r="I17" s="52">
        <v>0.2</v>
      </c>
      <c r="J17" s="52">
        <v>0.614</v>
      </c>
      <c r="K17" s="52"/>
      <c r="L17" s="52">
        <v>24.750000000000004</v>
      </c>
      <c r="M17" s="52">
        <v>75.25</v>
      </c>
      <c r="N17" s="52">
        <v>100.0</v>
      </c>
      <c r="O17" s="52">
        <v>18.068175895765467</v>
      </c>
      <c r="P17" s="52">
        <v>73.38023810872885</v>
      </c>
      <c r="Q17" s="52">
        <v>33.36963127972635</v>
      </c>
      <c r="R17" s="52">
        <v>3.172328001627722</v>
      </c>
      <c r="S17" s="52">
        <v>1.0002131470443272</v>
      </c>
      <c r="T17" s="52">
        <v>0.5001065735221626</v>
      </c>
      <c r="U17" s="52">
        <v>2.000000000000004</v>
      </c>
      <c r="V17" s="51" t="s">
        <v>186</v>
      </c>
      <c r="W17" s="51">
        <v>0.0</v>
      </c>
      <c r="X17" s="51" t="s">
        <v>264</v>
      </c>
      <c r="Y17" s="51" t="s">
        <v>260</v>
      </c>
      <c r="Z17" s="51" t="s">
        <v>270</v>
      </c>
      <c r="AA17" s="51"/>
    </row>
    <row r="18" ht="15.0" customHeight="1">
      <c r="A18" s="51">
        <v>32.0</v>
      </c>
      <c r="B18" s="51" t="s">
        <v>219</v>
      </c>
      <c r="C18" s="51" t="s">
        <v>258</v>
      </c>
      <c r="D18" s="51" t="s">
        <v>259</v>
      </c>
      <c r="E18" s="51" t="s">
        <v>260</v>
      </c>
      <c r="F18" s="51" t="s">
        <v>192</v>
      </c>
      <c r="G18" s="51" t="s">
        <v>308</v>
      </c>
      <c r="H18" s="52">
        <v>50.0</v>
      </c>
      <c r="I18" s="52">
        <v>-0.034</v>
      </c>
      <c r="J18" s="52">
        <v>1.8799999999999997</v>
      </c>
      <c r="K18" s="52">
        <v>50.0</v>
      </c>
      <c r="L18" s="52">
        <v>50.0</v>
      </c>
      <c r="M18" s="52">
        <v>50.0</v>
      </c>
      <c r="N18" s="52">
        <v>100.0</v>
      </c>
      <c r="O18" s="52">
        <v>15.80787234042553</v>
      </c>
      <c r="P18" s="52">
        <v>65.95744680851062</v>
      </c>
      <c r="Q18" s="52">
        <v>45.055844518427435</v>
      </c>
      <c r="R18" s="52">
        <v>3.038357295947621</v>
      </c>
      <c r="S18" s="52">
        <v>0.9974645952772934</v>
      </c>
      <c r="T18" s="52">
        <v>0.49775547356527344</v>
      </c>
      <c r="U18" s="52">
        <v>2.00392491544644</v>
      </c>
      <c r="V18" s="51" t="s">
        <v>186</v>
      </c>
      <c r="W18" s="51">
        <v>0.0</v>
      </c>
      <c r="X18" s="51" t="s">
        <v>264</v>
      </c>
      <c r="Y18" s="51" t="s">
        <v>260</v>
      </c>
      <c r="Z18" s="51" t="s">
        <v>265</v>
      </c>
      <c r="AA18" s="51"/>
    </row>
    <row r="19" ht="15.0" customHeight="1">
      <c r="A19" s="51">
        <v>32.0</v>
      </c>
      <c r="B19" s="51" t="s">
        <v>219</v>
      </c>
      <c r="C19" s="51" t="s">
        <v>258</v>
      </c>
      <c r="D19" s="51" t="s">
        <v>266</v>
      </c>
      <c r="E19" s="51" t="s">
        <v>260</v>
      </c>
      <c r="F19" s="51" t="s">
        <v>192</v>
      </c>
      <c r="G19" s="51" t="s">
        <v>308</v>
      </c>
      <c r="H19" s="52">
        <v>50.0</v>
      </c>
      <c r="I19" s="52">
        <v>-0.034</v>
      </c>
      <c r="J19" s="52">
        <v>1.8799999999999997</v>
      </c>
      <c r="K19" s="52"/>
      <c r="L19" s="52">
        <v>7.425000000000001</v>
      </c>
      <c r="M19" s="52">
        <v>92.575</v>
      </c>
      <c r="N19" s="52">
        <v>100.0</v>
      </c>
      <c r="O19" s="52">
        <v>15.807872340425499</v>
      </c>
      <c r="P19" s="52">
        <v>66.3923163254492</v>
      </c>
      <c r="Q19" s="52">
        <v>41.908035091542466</v>
      </c>
      <c r="R19" s="52">
        <v>3.314183417635439</v>
      </c>
      <c r="S19" s="52">
        <v>2.0826532462009264</v>
      </c>
      <c r="T19" s="52">
        <v>0.8330612984803708</v>
      </c>
      <c r="U19" s="52">
        <v>2.499999999999999</v>
      </c>
      <c r="V19" s="51" t="s">
        <v>186</v>
      </c>
      <c r="W19" s="51">
        <v>0.0</v>
      </c>
      <c r="X19" s="51" t="s">
        <v>264</v>
      </c>
      <c r="Y19" s="51" t="s">
        <v>260</v>
      </c>
      <c r="Z19" s="51" t="s">
        <v>270</v>
      </c>
      <c r="AA19" s="51"/>
    </row>
    <row r="20" ht="15.0" customHeight="1">
      <c r="A20" s="51">
        <v>33.0</v>
      </c>
      <c r="B20" s="51" t="s">
        <v>369</v>
      </c>
      <c r="C20" s="51" t="s">
        <v>370</v>
      </c>
      <c r="D20" s="51" t="s">
        <v>61</v>
      </c>
      <c r="E20" s="51" t="s">
        <v>260</v>
      </c>
      <c r="F20" s="51" t="s">
        <v>192</v>
      </c>
      <c r="G20" s="51" t="s">
        <v>308</v>
      </c>
      <c r="H20" s="52">
        <v>20.0</v>
      </c>
      <c r="I20" s="52">
        <v>0.2</v>
      </c>
      <c r="J20" s="52">
        <v>0.594</v>
      </c>
      <c r="K20" s="52">
        <v>0.0</v>
      </c>
      <c r="L20" s="52">
        <v>0.0</v>
      </c>
      <c r="M20" s="52">
        <v>100.0</v>
      </c>
      <c r="N20" s="52">
        <v>100.0</v>
      </c>
      <c r="O20" s="52">
        <v>18.688779999999998</v>
      </c>
      <c r="P20" s="52">
        <v>81.88474599999999</v>
      </c>
      <c r="Q20" s="52">
        <v>17.042178000000003</v>
      </c>
      <c r="R20" s="52">
        <v>3.494464</v>
      </c>
      <c r="S20" s="52">
        <v>0.8070240000000001</v>
      </c>
      <c r="T20" s="52">
        <v>0.38220800000000005</v>
      </c>
      <c r="U20" s="52">
        <v>2.1114785666443403</v>
      </c>
      <c r="V20" s="51" t="s">
        <v>186</v>
      </c>
      <c r="W20" s="51">
        <v>2.0</v>
      </c>
      <c r="X20" s="51" t="s">
        <v>371</v>
      </c>
      <c r="Y20" s="51" t="s">
        <v>260</v>
      </c>
      <c r="Z20" s="51" t="s">
        <v>373</v>
      </c>
      <c r="AA20" s="51"/>
    </row>
    <row r="21" ht="15.0" customHeight="1">
      <c r="A21" s="51">
        <v>34.0</v>
      </c>
      <c r="B21" s="51" t="s">
        <v>376</v>
      </c>
      <c r="C21" s="51" t="s">
        <v>370</v>
      </c>
      <c r="D21" s="51" t="s">
        <v>61</v>
      </c>
      <c r="E21" s="51" t="s">
        <v>260</v>
      </c>
      <c r="F21" s="51" t="s">
        <v>192</v>
      </c>
      <c r="G21" s="51" t="s">
        <v>308</v>
      </c>
      <c r="H21" s="52">
        <v>20.0</v>
      </c>
      <c r="I21" s="52">
        <v>0.2</v>
      </c>
      <c r="J21" s="52">
        <v>0.594</v>
      </c>
      <c r="K21" s="52">
        <v>0.0</v>
      </c>
      <c r="L21" s="52">
        <v>0.0</v>
      </c>
      <c r="M21" s="52">
        <v>100.0</v>
      </c>
      <c r="N21" s="52">
        <v>100.0</v>
      </c>
      <c r="O21" s="52">
        <v>18.688117000000002</v>
      </c>
      <c r="P21" s="52">
        <v>79.41218900000001</v>
      </c>
      <c r="Q21" s="52">
        <v>19.459716000000004</v>
      </c>
      <c r="R21" s="52">
        <v>3.999797</v>
      </c>
      <c r="S21" s="52">
        <v>0.7467820000000001</v>
      </c>
      <c r="T21" s="52">
        <v>0.347206</v>
      </c>
      <c r="U21" s="52">
        <v>2.150832646901263</v>
      </c>
      <c r="V21" s="51" t="s">
        <v>186</v>
      </c>
      <c r="W21" s="51">
        <v>2.0</v>
      </c>
      <c r="X21" s="51" t="s">
        <v>378</v>
      </c>
      <c r="Y21" s="51" t="s">
        <v>260</v>
      </c>
      <c r="Z21" s="51" t="s">
        <v>379</v>
      </c>
      <c r="AA21" s="51"/>
    </row>
    <row r="22" ht="15.0" customHeight="1">
      <c r="A22" s="51">
        <v>35.0</v>
      </c>
      <c r="B22" s="51" t="s">
        <v>380</v>
      </c>
      <c r="C22" s="51" t="s">
        <v>370</v>
      </c>
      <c r="D22" s="51" t="s">
        <v>61</v>
      </c>
      <c r="E22" s="51" t="s">
        <v>260</v>
      </c>
      <c r="F22" s="51" t="s">
        <v>192</v>
      </c>
      <c r="G22" s="51" t="s">
        <v>308</v>
      </c>
      <c r="H22" s="52">
        <v>20.0</v>
      </c>
      <c r="I22" s="52">
        <v>0.3</v>
      </c>
      <c r="J22" s="52">
        <v>0.608</v>
      </c>
      <c r="K22" s="52">
        <v>0.0</v>
      </c>
      <c r="L22" s="52">
        <v>0.0</v>
      </c>
      <c r="M22" s="52">
        <v>100.0</v>
      </c>
      <c r="N22" s="52">
        <v>100.0</v>
      </c>
      <c r="O22" s="52">
        <v>24.337623999999998</v>
      </c>
      <c r="P22" s="52">
        <v>79.23898299999999</v>
      </c>
      <c r="Q22" s="52">
        <v>20.351855999999998</v>
      </c>
      <c r="R22" s="52">
        <v>3.115077999999999</v>
      </c>
      <c r="S22" s="52">
        <v>1.02894</v>
      </c>
      <c r="T22" s="52">
        <v>0.49698199999999987</v>
      </c>
      <c r="U22" s="52">
        <v>2.07037679433058</v>
      </c>
      <c r="V22" s="51" t="s">
        <v>186</v>
      </c>
      <c r="W22" s="51">
        <v>2.0</v>
      </c>
      <c r="X22" s="51" t="s">
        <v>384</v>
      </c>
      <c r="Y22" s="51" t="s">
        <v>260</v>
      </c>
      <c r="Z22" s="51" t="s">
        <v>386</v>
      </c>
      <c r="AA22" s="51"/>
    </row>
    <row r="23" ht="15.0" customHeight="1">
      <c r="A23" s="51">
        <v>36.0</v>
      </c>
      <c r="B23" s="51" t="s">
        <v>387</v>
      </c>
      <c r="C23" s="51" t="s">
        <v>370</v>
      </c>
      <c r="D23" s="51" t="s">
        <v>61</v>
      </c>
      <c r="E23" s="51" t="s">
        <v>260</v>
      </c>
      <c r="F23" s="51" t="s">
        <v>192</v>
      </c>
      <c r="G23" s="51" t="s">
        <v>308</v>
      </c>
      <c r="H23" s="52">
        <v>20.0</v>
      </c>
      <c r="I23" s="52">
        <v>0.3</v>
      </c>
      <c r="J23" s="52">
        <v>0.608</v>
      </c>
      <c r="K23" s="52">
        <v>0.0</v>
      </c>
      <c r="L23" s="52">
        <v>0.0</v>
      </c>
      <c r="M23" s="52">
        <v>100.0</v>
      </c>
      <c r="N23" s="52">
        <v>100.0</v>
      </c>
      <c r="O23" s="52">
        <v>24.33935</v>
      </c>
      <c r="P23" s="52">
        <v>79.27418</v>
      </c>
      <c r="Q23" s="52">
        <v>18.181058</v>
      </c>
      <c r="R23" s="52">
        <v>3.5013339999999995</v>
      </c>
      <c r="S23" s="52">
        <v>0.9627080000000003</v>
      </c>
      <c r="T23" s="52">
        <v>0.38598000000000005</v>
      </c>
      <c r="U23" s="52">
        <v>2.49419140888129</v>
      </c>
      <c r="V23" s="51" t="s">
        <v>186</v>
      </c>
      <c r="W23" s="51">
        <v>2.0</v>
      </c>
      <c r="X23" s="51" t="s">
        <v>392</v>
      </c>
      <c r="Y23" s="51" t="s">
        <v>260</v>
      </c>
      <c r="Z23" s="51" t="s">
        <v>393</v>
      </c>
      <c r="AA23" s="51"/>
    </row>
    <row r="24" ht="15.0" customHeight="1">
      <c r="A24" s="51">
        <v>37.0</v>
      </c>
      <c r="B24" s="51" t="s">
        <v>394</v>
      </c>
      <c r="C24" s="51" t="s">
        <v>370</v>
      </c>
      <c r="D24" s="51" t="s">
        <v>61</v>
      </c>
      <c r="E24" s="51" t="s">
        <v>260</v>
      </c>
      <c r="F24" s="51" t="s">
        <v>192</v>
      </c>
      <c r="G24" s="51" t="s">
        <v>308</v>
      </c>
      <c r="H24" s="52">
        <v>30.0</v>
      </c>
      <c r="I24" s="52">
        <v>0.2</v>
      </c>
      <c r="J24" s="52">
        <v>1.053</v>
      </c>
      <c r="K24" s="52">
        <v>0.0</v>
      </c>
      <c r="L24" s="52">
        <v>0.0</v>
      </c>
      <c r="M24" s="52">
        <v>100.0</v>
      </c>
      <c r="N24" s="52">
        <v>100.0</v>
      </c>
      <c r="O24" s="52">
        <v>12.444288</v>
      </c>
      <c r="P24" s="52">
        <v>81.20960900000001</v>
      </c>
      <c r="Q24" s="52">
        <v>19.883011</v>
      </c>
      <c r="R24" s="52">
        <v>3.859767</v>
      </c>
      <c r="S24" s="52">
        <v>0.8185860000000003</v>
      </c>
      <c r="T24" s="52">
        <v>0.3967880000000001</v>
      </c>
      <c r="U24" s="52">
        <v>2.063031140054639</v>
      </c>
      <c r="V24" s="51" t="s">
        <v>186</v>
      </c>
      <c r="W24" s="51">
        <v>1.0</v>
      </c>
      <c r="X24" s="51" t="s">
        <v>399</v>
      </c>
      <c r="Y24" s="51" t="s">
        <v>260</v>
      </c>
      <c r="Z24" s="51" t="s">
        <v>400</v>
      </c>
      <c r="AA24" s="51"/>
    </row>
    <row r="25" ht="15.0" customHeight="1">
      <c r="A25" s="51">
        <v>38.0</v>
      </c>
      <c r="B25" s="51" t="s">
        <v>401</v>
      </c>
      <c r="C25" s="51" t="s">
        <v>370</v>
      </c>
      <c r="D25" s="51" t="s">
        <v>61</v>
      </c>
      <c r="E25" s="51" t="s">
        <v>260</v>
      </c>
      <c r="F25" s="51" t="s">
        <v>192</v>
      </c>
      <c r="G25" s="51" t="s">
        <v>308</v>
      </c>
      <c r="H25" s="52">
        <v>30.0</v>
      </c>
      <c r="I25" s="52">
        <v>0.2</v>
      </c>
      <c r="J25" s="52">
        <v>1.053</v>
      </c>
      <c r="K25" s="52">
        <v>0.0</v>
      </c>
      <c r="L25" s="52">
        <v>0.0</v>
      </c>
      <c r="M25" s="52">
        <v>100.0</v>
      </c>
      <c r="N25" s="52">
        <v>100.0</v>
      </c>
      <c r="O25" s="52">
        <v>12.437577</v>
      </c>
      <c r="P25" s="52">
        <v>79.477868</v>
      </c>
      <c r="Q25" s="52">
        <v>20.602523</v>
      </c>
      <c r="R25" s="52">
        <v>4.514926</v>
      </c>
      <c r="S25" s="52">
        <v>0.6193960000000001</v>
      </c>
      <c r="T25" s="52">
        <v>0.30279799999999996</v>
      </c>
      <c r="U25" s="52">
        <v>2.0455749377472774</v>
      </c>
      <c r="V25" s="51" t="s">
        <v>186</v>
      </c>
      <c r="W25" s="51">
        <v>1.0</v>
      </c>
      <c r="X25" s="51" t="s">
        <v>406</v>
      </c>
      <c r="Y25" s="51" t="s">
        <v>260</v>
      </c>
      <c r="Z25" s="51" t="s">
        <v>407</v>
      </c>
      <c r="AA25" s="51"/>
    </row>
    <row r="26" ht="15.0" customHeight="1">
      <c r="A26" s="51">
        <v>39.0</v>
      </c>
      <c r="B26" s="51" t="s">
        <v>408</v>
      </c>
      <c r="C26" s="51" t="s">
        <v>370</v>
      </c>
      <c r="D26" s="51" t="s">
        <v>61</v>
      </c>
      <c r="E26" s="51" t="s">
        <v>260</v>
      </c>
      <c r="F26" s="51" t="s">
        <v>192</v>
      </c>
      <c r="G26" s="51" t="s">
        <v>308</v>
      </c>
      <c r="H26" s="52">
        <v>30.0</v>
      </c>
      <c r="I26" s="52">
        <v>0.25</v>
      </c>
      <c r="J26" s="52">
        <v>1.074</v>
      </c>
      <c r="K26" s="52">
        <v>0.0</v>
      </c>
      <c r="L26" s="52">
        <v>0.0</v>
      </c>
      <c r="M26" s="52">
        <v>100.0</v>
      </c>
      <c r="N26" s="52">
        <v>100.0</v>
      </c>
      <c r="O26" s="52">
        <v>14.024314000000002</v>
      </c>
      <c r="P26" s="52">
        <v>79.74667900000001</v>
      </c>
      <c r="Q26" s="52">
        <v>22.137939</v>
      </c>
      <c r="R26" s="52">
        <v>3.7432679999999996</v>
      </c>
      <c r="S26" s="52">
        <v>0.9278799999999998</v>
      </c>
      <c r="T26" s="52">
        <v>0.4578</v>
      </c>
      <c r="U26" s="52">
        <v>2.026823940585408</v>
      </c>
      <c r="V26" s="51" t="s">
        <v>186</v>
      </c>
      <c r="W26" s="51">
        <v>1.0</v>
      </c>
      <c r="X26" s="51" t="s">
        <v>409</v>
      </c>
      <c r="Y26" s="51" t="s">
        <v>260</v>
      </c>
      <c r="Z26" s="51" t="s">
        <v>411</v>
      </c>
      <c r="AA26" s="51"/>
    </row>
    <row r="27" ht="15.0" customHeight="1">
      <c r="A27" s="51">
        <v>43.0</v>
      </c>
      <c r="B27" s="51" t="s">
        <v>414</v>
      </c>
      <c r="C27" s="51" t="s">
        <v>370</v>
      </c>
      <c r="D27" s="51" t="s">
        <v>61</v>
      </c>
      <c r="E27" s="51" t="s">
        <v>260</v>
      </c>
      <c r="F27" s="51" t="s">
        <v>192</v>
      </c>
      <c r="G27" s="51" t="s">
        <v>308</v>
      </c>
      <c r="H27" s="52">
        <v>30.0</v>
      </c>
      <c r="I27" s="52">
        <v>0.25</v>
      </c>
      <c r="J27" s="52">
        <v>1.074</v>
      </c>
      <c r="K27" s="52">
        <v>0.0</v>
      </c>
      <c r="L27" s="52">
        <v>0.0</v>
      </c>
      <c r="M27" s="52">
        <v>100.0</v>
      </c>
      <c r="N27" s="52">
        <v>100.0</v>
      </c>
      <c r="O27" s="52">
        <v>14.019730999999998</v>
      </c>
      <c r="P27" s="52">
        <v>79.75752600000001</v>
      </c>
      <c r="Q27" s="52">
        <v>19.796913000000004</v>
      </c>
      <c r="R27" s="52">
        <v>4.331588999999999</v>
      </c>
      <c r="S27" s="52">
        <v>0.687358</v>
      </c>
      <c r="T27" s="52">
        <v>0.31163</v>
      </c>
      <c r="U27" s="52">
        <v>2.2056862304656164</v>
      </c>
      <c r="V27" s="51" t="s">
        <v>186</v>
      </c>
      <c r="W27" s="51">
        <v>1.0</v>
      </c>
      <c r="X27" s="51" t="s">
        <v>415</v>
      </c>
      <c r="Y27" s="51" t="s">
        <v>260</v>
      </c>
      <c r="Z27" s="51" t="s">
        <v>416</v>
      </c>
      <c r="AA27" s="51"/>
    </row>
    <row r="28" ht="15.0" customHeight="1">
      <c r="A28" s="51">
        <v>44.0</v>
      </c>
      <c r="B28" s="51" t="s">
        <v>418</v>
      </c>
      <c r="C28" s="51" t="s">
        <v>370</v>
      </c>
      <c r="D28" s="51" t="s">
        <v>61</v>
      </c>
      <c r="E28" s="51" t="s">
        <v>260</v>
      </c>
      <c r="F28" s="51" t="s">
        <v>192</v>
      </c>
      <c r="G28" s="51" t="s">
        <v>308</v>
      </c>
      <c r="H28" s="52">
        <v>20.0</v>
      </c>
      <c r="I28" s="52">
        <v>0.2</v>
      </c>
      <c r="J28" s="52">
        <v>0.594</v>
      </c>
      <c r="K28" s="52">
        <v>0.0</v>
      </c>
      <c r="L28" s="52">
        <v>0.0</v>
      </c>
      <c r="M28" s="52">
        <v>100.0</v>
      </c>
      <c r="N28" s="52">
        <v>100.0</v>
      </c>
      <c r="O28" s="52">
        <v>18.688779999999998</v>
      </c>
      <c r="P28" s="52">
        <v>81.88474599999999</v>
      </c>
      <c r="Q28" s="52">
        <v>17.042178000000003</v>
      </c>
      <c r="R28" s="52">
        <v>3.494464</v>
      </c>
      <c r="S28" s="52">
        <v>0.8070240000000001</v>
      </c>
      <c r="T28" s="52">
        <v>0.38220800000000005</v>
      </c>
      <c r="U28" s="52">
        <v>2.1114785666443403</v>
      </c>
      <c r="V28" s="51" t="s">
        <v>186</v>
      </c>
      <c r="W28" s="51">
        <v>2.0</v>
      </c>
      <c r="X28" s="51" t="s">
        <v>371</v>
      </c>
      <c r="Y28" s="51" t="s">
        <v>260</v>
      </c>
      <c r="Z28" s="51" t="s">
        <v>373</v>
      </c>
      <c r="AA28" s="51"/>
    </row>
    <row r="29" ht="15.0" customHeight="1">
      <c r="A29" s="51">
        <v>45.0</v>
      </c>
      <c r="B29" s="51" t="s">
        <v>420</v>
      </c>
      <c r="C29" s="51" t="s">
        <v>370</v>
      </c>
      <c r="D29" s="51" t="s">
        <v>61</v>
      </c>
      <c r="E29" s="51" t="s">
        <v>260</v>
      </c>
      <c r="F29" s="51" t="s">
        <v>192</v>
      </c>
      <c r="G29" s="51" t="s">
        <v>308</v>
      </c>
      <c r="H29" s="52">
        <v>20.0</v>
      </c>
      <c r="I29" s="52">
        <v>0.2</v>
      </c>
      <c r="J29" s="52">
        <v>0.594</v>
      </c>
      <c r="K29" s="52">
        <v>0.0</v>
      </c>
      <c r="L29" s="52">
        <v>0.0</v>
      </c>
      <c r="M29" s="52">
        <v>100.0</v>
      </c>
      <c r="N29" s="52">
        <v>100.0</v>
      </c>
      <c r="O29" s="52">
        <v>18.688117000000002</v>
      </c>
      <c r="P29" s="52">
        <v>79.41218900000001</v>
      </c>
      <c r="Q29" s="52">
        <v>19.459716000000004</v>
      </c>
      <c r="R29" s="52">
        <v>3.999797</v>
      </c>
      <c r="S29" s="52">
        <v>0.7467820000000001</v>
      </c>
      <c r="T29" s="52">
        <v>0.347206</v>
      </c>
      <c r="U29" s="52">
        <v>2.150832646901263</v>
      </c>
      <c r="V29" s="51" t="s">
        <v>186</v>
      </c>
      <c r="W29" s="51">
        <v>2.0</v>
      </c>
      <c r="X29" s="51" t="s">
        <v>378</v>
      </c>
      <c r="Y29" s="51" t="s">
        <v>260</v>
      </c>
      <c r="Z29" s="51" t="s">
        <v>379</v>
      </c>
      <c r="AA29" s="51"/>
    </row>
    <row r="30" ht="15.0" customHeight="1">
      <c r="A30" s="51">
        <v>46.0</v>
      </c>
      <c r="B30" s="51" t="s">
        <v>423</v>
      </c>
      <c r="C30" s="51" t="s">
        <v>370</v>
      </c>
      <c r="D30" s="51" t="s">
        <v>61</v>
      </c>
      <c r="E30" s="51" t="s">
        <v>260</v>
      </c>
      <c r="F30" s="51" t="s">
        <v>192</v>
      </c>
      <c r="G30" s="51" t="s">
        <v>308</v>
      </c>
      <c r="H30" s="52">
        <v>20.0</v>
      </c>
      <c r="I30" s="52">
        <v>0.3</v>
      </c>
      <c r="J30" s="52">
        <v>0.608</v>
      </c>
      <c r="K30" s="52">
        <v>0.0</v>
      </c>
      <c r="L30" s="52">
        <v>0.0</v>
      </c>
      <c r="M30" s="52">
        <v>100.0</v>
      </c>
      <c r="N30" s="52">
        <v>100.0</v>
      </c>
      <c r="O30" s="52">
        <v>24.337623999999998</v>
      </c>
      <c r="P30" s="52">
        <v>79.23898299999999</v>
      </c>
      <c r="Q30" s="52">
        <v>20.351855999999998</v>
      </c>
      <c r="R30" s="52">
        <v>3.115077999999999</v>
      </c>
      <c r="S30" s="52">
        <v>1.02894</v>
      </c>
      <c r="T30" s="52">
        <v>0.49698199999999987</v>
      </c>
      <c r="U30" s="52">
        <v>2.07037679433058</v>
      </c>
      <c r="V30" s="51" t="s">
        <v>186</v>
      </c>
      <c r="W30" s="51">
        <v>2.0</v>
      </c>
      <c r="X30" s="51" t="s">
        <v>384</v>
      </c>
      <c r="Y30" s="51" t="s">
        <v>260</v>
      </c>
      <c r="Z30" s="51" t="s">
        <v>386</v>
      </c>
      <c r="AA30" s="51"/>
    </row>
    <row r="31" ht="15.0" customHeight="1">
      <c r="A31" s="51">
        <v>47.0</v>
      </c>
      <c r="B31" s="51" t="s">
        <v>429</v>
      </c>
      <c r="C31" s="51" t="s">
        <v>370</v>
      </c>
      <c r="D31" s="51" t="s">
        <v>61</v>
      </c>
      <c r="E31" s="51" t="s">
        <v>260</v>
      </c>
      <c r="F31" s="51" t="s">
        <v>192</v>
      </c>
      <c r="G31" s="51" t="s">
        <v>308</v>
      </c>
      <c r="H31" s="52">
        <v>20.0</v>
      </c>
      <c r="I31" s="52">
        <v>0.3</v>
      </c>
      <c r="J31" s="52">
        <v>0.626</v>
      </c>
      <c r="K31" s="52">
        <v>0.0</v>
      </c>
      <c r="L31" s="52">
        <v>0.0</v>
      </c>
      <c r="M31" s="52">
        <v>100.0</v>
      </c>
      <c r="N31" s="52">
        <v>100.0</v>
      </c>
      <c r="O31" s="52">
        <v>23.801916932907346</v>
      </c>
      <c r="P31" s="52">
        <v>80.64684942746773</v>
      </c>
      <c r="Q31" s="52">
        <v>16.94426205912853</v>
      </c>
      <c r="R31" s="52">
        <v>3.4294262677901144</v>
      </c>
      <c r="S31" s="52">
        <v>0.8146964856229209</v>
      </c>
      <c r="T31" s="52">
        <v>0.37656702750173754</v>
      </c>
      <c r="U31" s="52">
        <v>2.1634833273318432</v>
      </c>
      <c r="V31" s="51" t="s">
        <v>186</v>
      </c>
      <c r="W31" s="51">
        <v>2.0</v>
      </c>
      <c r="X31" s="51" t="s">
        <v>432</v>
      </c>
      <c r="Y31" s="51" t="s">
        <v>260</v>
      </c>
      <c r="Z31" s="51" t="s">
        <v>265</v>
      </c>
      <c r="AA31" s="51"/>
    </row>
    <row r="32" ht="15.0" customHeight="1">
      <c r="A32" s="51">
        <v>48.0</v>
      </c>
      <c r="B32" s="51" t="s">
        <v>434</v>
      </c>
      <c r="C32" s="51" t="s">
        <v>370</v>
      </c>
      <c r="D32" s="51" t="s">
        <v>61</v>
      </c>
      <c r="E32" s="51" t="s">
        <v>260</v>
      </c>
      <c r="F32" s="51" t="s">
        <v>192</v>
      </c>
      <c r="G32" s="51" t="s">
        <v>308</v>
      </c>
      <c r="H32" s="52">
        <v>30.0</v>
      </c>
      <c r="I32" s="52">
        <v>0.2</v>
      </c>
      <c r="J32" s="52">
        <v>1.089</v>
      </c>
      <c r="K32" s="52">
        <v>0.0</v>
      </c>
      <c r="L32" s="52">
        <v>0.0</v>
      </c>
      <c r="M32" s="52">
        <v>100.0</v>
      </c>
      <c r="N32" s="52">
        <v>99.99999999999999</v>
      </c>
      <c r="O32" s="52">
        <v>12.213039485766757</v>
      </c>
      <c r="P32" s="52">
        <v>82.81540017497761</v>
      </c>
      <c r="Q32" s="52">
        <v>17.12103993127276</v>
      </c>
      <c r="R32" s="52">
        <v>3.8993379691653645</v>
      </c>
      <c r="S32" s="52">
        <v>0.6886355036713017</v>
      </c>
      <c r="T32" s="52">
        <v>0.3348624892206582</v>
      </c>
      <c r="U32" s="52">
        <v>2.056472509877104</v>
      </c>
      <c r="V32" s="51" t="s">
        <v>186</v>
      </c>
      <c r="W32" s="51">
        <v>1.0</v>
      </c>
      <c r="X32" s="51" t="s">
        <v>435</v>
      </c>
      <c r="Y32" s="51" t="s">
        <v>260</v>
      </c>
      <c r="Z32" s="51" t="s">
        <v>265</v>
      </c>
      <c r="AA32" s="51"/>
    </row>
    <row r="33" ht="15.0" customHeight="1">
      <c r="A33" s="51">
        <v>49.0</v>
      </c>
      <c r="B33" s="51" t="s">
        <v>436</v>
      </c>
      <c r="C33" s="51" t="s">
        <v>370</v>
      </c>
      <c r="D33" s="51" t="s">
        <v>61</v>
      </c>
      <c r="E33" s="51" t="s">
        <v>260</v>
      </c>
      <c r="F33" s="51" t="s">
        <v>192</v>
      </c>
      <c r="G33" s="51" t="s">
        <v>308</v>
      </c>
      <c r="H33" s="52">
        <v>30.0</v>
      </c>
      <c r="I33" s="52">
        <v>0.2</v>
      </c>
      <c r="J33" s="52">
        <v>1.053</v>
      </c>
      <c r="K33" s="52">
        <v>0.0</v>
      </c>
      <c r="L33" s="52">
        <v>0.0</v>
      </c>
      <c r="M33" s="52">
        <v>100.0</v>
      </c>
      <c r="N33" s="52">
        <v>100.0</v>
      </c>
      <c r="O33" s="52">
        <v>12.437577</v>
      </c>
      <c r="P33" s="52">
        <v>79.477868</v>
      </c>
      <c r="Q33" s="52">
        <v>20.602523</v>
      </c>
      <c r="R33" s="52">
        <v>4.514926</v>
      </c>
      <c r="S33" s="52">
        <v>0.6193960000000001</v>
      </c>
      <c r="T33" s="52">
        <v>0.30279799999999996</v>
      </c>
      <c r="U33" s="52">
        <v>2.0455749377472774</v>
      </c>
      <c r="V33" s="51" t="s">
        <v>186</v>
      </c>
      <c r="W33" s="51">
        <v>1.0</v>
      </c>
      <c r="X33" s="51" t="s">
        <v>406</v>
      </c>
      <c r="Y33" s="51" t="s">
        <v>260</v>
      </c>
      <c r="Z33" s="51" t="s">
        <v>407</v>
      </c>
      <c r="AA33" s="51"/>
    </row>
    <row r="34" ht="15.0" customHeight="1">
      <c r="A34" s="51">
        <v>50.0</v>
      </c>
      <c r="B34" s="51" t="s">
        <v>439</v>
      </c>
      <c r="C34" s="51" t="s">
        <v>370</v>
      </c>
      <c r="D34" s="51" t="s">
        <v>61</v>
      </c>
      <c r="E34" s="51" t="s">
        <v>260</v>
      </c>
      <c r="F34" s="51" t="s">
        <v>192</v>
      </c>
      <c r="G34" s="51" t="s">
        <v>308</v>
      </c>
      <c r="H34" s="52">
        <v>30.0</v>
      </c>
      <c r="I34" s="52">
        <v>0.25</v>
      </c>
      <c r="J34" s="52">
        <v>1.074</v>
      </c>
      <c r="K34" s="52">
        <v>0.0</v>
      </c>
      <c r="L34" s="52">
        <v>0.0</v>
      </c>
      <c r="M34" s="52">
        <v>100.0</v>
      </c>
      <c r="N34" s="52">
        <v>100.0</v>
      </c>
      <c r="O34" s="52">
        <v>14.024314000000002</v>
      </c>
      <c r="P34" s="52">
        <v>79.74667900000001</v>
      </c>
      <c r="Q34" s="52">
        <v>22.137939</v>
      </c>
      <c r="R34" s="52">
        <v>3.7432679999999996</v>
      </c>
      <c r="S34" s="52">
        <v>0.9278799999999998</v>
      </c>
      <c r="T34" s="52">
        <v>0.4578</v>
      </c>
      <c r="U34" s="52">
        <v>2.026823940585408</v>
      </c>
      <c r="V34" s="51" t="s">
        <v>186</v>
      </c>
      <c r="W34" s="51">
        <v>1.0</v>
      </c>
      <c r="X34" s="51" t="s">
        <v>409</v>
      </c>
      <c r="Y34" s="51" t="s">
        <v>260</v>
      </c>
      <c r="Z34" s="51" t="s">
        <v>411</v>
      </c>
      <c r="AA34" s="51"/>
    </row>
    <row r="35" ht="15.0" customHeight="1">
      <c r="A35" s="51">
        <v>51.0</v>
      </c>
      <c r="B35" s="51" t="s">
        <v>444</v>
      </c>
      <c r="C35" s="51" t="s">
        <v>370</v>
      </c>
      <c r="D35" s="51" t="s">
        <v>61</v>
      </c>
      <c r="E35" s="51" t="s">
        <v>260</v>
      </c>
      <c r="F35" s="51" t="s">
        <v>192</v>
      </c>
      <c r="G35" s="51" t="s">
        <v>308</v>
      </c>
      <c r="H35" s="52">
        <v>30.0</v>
      </c>
      <c r="I35" s="52">
        <v>0.25</v>
      </c>
      <c r="J35" s="52">
        <v>1.074</v>
      </c>
      <c r="K35" s="52">
        <v>0.0</v>
      </c>
      <c r="L35" s="52">
        <v>0.0</v>
      </c>
      <c r="M35" s="52">
        <v>100.0</v>
      </c>
      <c r="N35" s="52">
        <v>100.0</v>
      </c>
      <c r="O35" s="52">
        <v>14.019730999999998</v>
      </c>
      <c r="P35" s="52">
        <v>79.75752600000001</v>
      </c>
      <c r="Q35" s="52">
        <v>19.796913000000004</v>
      </c>
      <c r="R35" s="52">
        <v>4.331588999999999</v>
      </c>
      <c r="S35" s="52">
        <v>0.687358</v>
      </c>
      <c r="T35" s="52">
        <v>0.31163</v>
      </c>
      <c r="U35" s="52">
        <v>2.2056862304656164</v>
      </c>
      <c r="V35" s="51" t="s">
        <v>186</v>
      </c>
      <c r="W35" s="51">
        <v>1.0</v>
      </c>
      <c r="X35" s="51" t="s">
        <v>415</v>
      </c>
      <c r="Y35" s="51" t="s">
        <v>260</v>
      </c>
      <c r="Z35" s="51" t="s">
        <v>416</v>
      </c>
      <c r="AA35" s="51"/>
    </row>
    <row r="36" ht="15.0" customHeight="1">
      <c r="A36" s="51">
        <v>52.0</v>
      </c>
      <c r="B36" s="51" t="s">
        <v>448</v>
      </c>
      <c r="C36" s="51" t="s">
        <v>370</v>
      </c>
      <c r="D36" s="51" t="s">
        <v>61</v>
      </c>
      <c r="E36" s="51" t="s">
        <v>260</v>
      </c>
      <c r="F36" s="51" t="s">
        <v>192</v>
      </c>
      <c r="G36" s="51" t="s">
        <v>308</v>
      </c>
      <c r="H36" s="52">
        <v>20.0</v>
      </c>
      <c r="I36" s="52">
        <v>0.2</v>
      </c>
      <c r="J36" s="52">
        <v>0.594</v>
      </c>
      <c r="K36" s="52">
        <v>0.0</v>
      </c>
      <c r="L36" s="52">
        <v>0.0</v>
      </c>
      <c r="M36" s="52">
        <v>100.0</v>
      </c>
      <c r="N36" s="52">
        <v>100.0</v>
      </c>
      <c r="O36" s="52">
        <v>18.688779999999998</v>
      </c>
      <c r="P36" s="52">
        <v>81.88474599999999</v>
      </c>
      <c r="Q36" s="52">
        <v>17.042178000000003</v>
      </c>
      <c r="R36" s="52">
        <v>3.494464</v>
      </c>
      <c r="S36" s="52">
        <v>0.8070240000000001</v>
      </c>
      <c r="T36" s="52">
        <v>0.38220800000000005</v>
      </c>
      <c r="U36" s="52">
        <v>2.1114785666443403</v>
      </c>
      <c r="V36" s="51" t="s">
        <v>186</v>
      </c>
      <c r="W36" s="51">
        <v>2.0</v>
      </c>
      <c r="X36" s="51" t="s">
        <v>371</v>
      </c>
      <c r="Y36" s="51" t="s">
        <v>260</v>
      </c>
      <c r="Z36" s="51" t="s">
        <v>373</v>
      </c>
      <c r="AA36" s="51"/>
    </row>
    <row r="37" ht="15.0" customHeight="1">
      <c r="A37" s="51">
        <v>53.0</v>
      </c>
      <c r="B37" s="51" t="s">
        <v>453</v>
      </c>
      <c r="C37" s="51" t="s">
        <v>370</v>
      </c>
      <c r="D37" s="51" t="s">
        <v>61</v>
      </c>
      <c r="E37" s="51" t="s">
        <v>260</v>
      </c>
      <c r="F37" s="51" t="s">
        <v>192</v>
      </c>
      <c r="G37" s="51" t="s">
        <v>308</v>
      </c>
      <c r="H37" s="52">
        <v>20.0</v>
      </c>
      <c r="I37" s="52">
        <v>0.2</v>
      </c>
      <c r="J37" s="52">
        <v>0.594</v>
      </c>
      <c r="K37" s="52">
        <v>0.0</v>
      </c>
      <c r="L37" s="52">
        <v>0.0</v>
      </c>
      <c r="M37" s="52">
        <v>100.0</v>
      </c>
      <c r="N37" s="52">
        <v>100.0</v>
      </c>
      <c r="O37" s="52">
        <v>18.688117000000002</v>
      </c>
      <c r="P37" s="52">
        <v>79.41218900000001</v>
      </c>
      <c r="Q37" s="52">
        <v>19.459716000000004</v>
      </c>
      <c r="R37" s="52">
        <v>3.999797</v>
      </c>
      <c r="S37" s="52">
        <v>0.7467820000000001</v>
      </c>
      <c r="T37" s="52">
        <v>0.347206</v>
      </c>
      <c r="U37" s="52">
        <v>2.150832646901263</v>
      </c>
      <c r="V37" s="51" t="s">
        <v>186</v>
      </c>
      <c r="W37" s="51">
        <v>2.0</v>
      </c>
      <c r="X37" s="51" t="s">
        <v>378</v>
      </c>
      <c r="Y37" s="51" t="s">
        <v>260</v>
      </c>
      <c r="Z37" s="51" t="s">
        <v>379</v>
      </c>
      <c r="AA37" s="51"/>
    </row>
    <row r="38" ht="15.0" customHeight="1">
      <c r="A38" s="51">
        <v>54.0</v>
      </c>
      <c r="B38" s="51" t="s">
        <v>456</v>
      </c>
      <c r="C38" s="51" t="s">
        <v>370</v>
      </c>
      <c r="D38" s="51" t="s">
        <v>61</v>
      </c>
      <c r="E38" s="51" t="s">
        <v>260</v>
      </c>
      <c r="F38" s="51" t="s">
        <v>192</v>
      </c>
      <c r="G38" s="51" t="s">
        <v>308</v>
      </c>
      <c r="H38" s="52">
        <v>20.0</v>
      </c>
      <c r="I38" s="52">
        <v>0.3</v>
      </c>
      <c r="J38" s="52">
        <v>0.608</v>
      </c>
      <c r="K38" s="52">
        <v>0.0</v>
      </c>
      <c r="L38" s="52">
        <v>0.0</v>
      </c>
      <c r="M38" s="52">
        <v>100.0</v>
      </c>
      <c r="N38" s="52">
        <v>100.0</v>
      </c>
      <c r="O38" s="52">
        <v>24.337623999999998</v>
      </c>
      <c r="P38" s="52">
        <v>79.23898299999999</v>
      </c>
      <c r="Q38" s="52">
        <v>20.351855999999998</v>
      </c>
      <c r="R38" s="52">
        <v>3.115077999999999</v>
      </c>
      <c r="S38" s="52">
        <v>1.02894</v>
      </c>
      <c r="T38" s="52">
        <v>0.49698199999999987</v>
      </c>
      <c r="U38" s="52">
        <v>2.07037679433058</v>
      </c>
      <c r="V38" s="51" t="s">
        <v>186</v>
      </c>
      <c r="W38" s="51">
        <v>2.0</v>
      </c>
      <c r="X38" s="51" t="s">
        <v>384</v>
      </c>
      <c r="Y38" s="51" t="s">
        <v>260</v>
      </c>
      <c r="Z38" s="51" t="s">
        <v>386</v>
      </c>
      <c r="AA38" s="51"/>
    </row>
    <row r="39" ht="15.0" customHeight="1">
      <c r="A39" s="51">
        <v>55.0</v>
      </c>
      <c r="B39" s="51" t="s">
        <v>387</v>
      </c>
      <c r="C39" s="51" t="s">
        <v>370</v>
      </c>
      <c r="D39" s="51" t="s">
        <v>61</v>
      </c>
      <c r="E39" s="51" t="s">
        <v>260</v>
      </c>
      <c r="F39" s="51" t="s">
        <v>192</v>
      </c>
      <c r="G39" s="51" t="s">
        <v>308</v>
      </c>
      <c r="H39" s="52">
        <v>20.0</v>
      </c>
      <c r="I39" s="52">
        <v>0.3</v>
      </c>
      <c r="J39" s="52">
        <v>0.608</v>
      </c>
      <c r="K39" s="52">
        <v>0.0</v>
      </c>
      <c r="L39" s="52">
        <v>0.0</v>
      </c>
      <c r="M39" s="52">
        <v>100.0</v>
      </c>
      <c r="N39" s="52">
        <v>100.0</v>
      </c>
      <c r="O39" s="52">
        <v>24.33935</v>
      </c>
      <c r="P39" s="52">
        <v>79.27418</v>
      </c>
      <c r="Q39" s="52">
        <v>18.181058</v>
      </c>
      <c r="R39" s="52">
        <v>3.5013339999999995</v>
      </c>
      <c r="S39" s="52">
        <v>0.9627080000000003</v>
      </c>
      <c r="T39" s="52">
        <v>0.38598000000000005</v>
      </c>
      <c r="U39" s="52">
        <v>2.49419140888129</v>
      </c>
      <c r="V39" s="51" t="s">
        <v>186</v>
      </c>
      <c r="W39" s="51">
        <v>2.0</v>
      </c>
      <c r="X39" s="51" t="s">
        <v>392</v>
      </c>
      <c r="Y39" s="51" t="s">
        <v>260</v>
      </c>
      <c r="Z39" s="51" t="s">
        <v>393</v>
      </c>
      <c r="AA39" s="51"/>
    </row>
    <row r="40" ht="15.0" customHeight="1">
      <c r="A40" s="51">
        <v>56.0</v>
      </c>
      <c r="B40" s="51" t="s">
        <v>463</v>
      </c>
      <c r="C40" s="51" t="s">
        <v>370</v>
      </c>
      <c r="D40" s="51" t="s">
        <v>61</v>
      </c>
      <c r="E40" s="51" t="s">
        <v>260</v>
      </c>
      <c r="F40" s="51" t="s">
        <v>192</v>
      </c>
      <c r="G40" s="51" t="s">
        <v>308</v>
      </c>
      <c r="H40" s="52">
        <v>30.0</v>
      </c>
      <c r="I40" s="52">
        <v>0.2</v>
      </c>
      <c r="J40" s="52">
        <v>1.053</v>
      </c>
      <c r="K40" s="52">
        <v>0.0</v>
      </c>
      <c r="L40" s="52">
        <v>0.0</v>
      </c>
      <c r="M40" s="52">
        <v>100.0</v>
      </c>
      <c r="N40" s="52">
        <v>100.0</v>
      </c>
      <c r="O40" s="52">
        <v>12.444288</v>
      </c>
      <c r="P40" s="52">
        <v>81.20960900000001</v>
      </c>
      <c r="Q40" s="52">
        <v>19.883011</v>
      </c>
      <c r="R40" s="52">
        <v>3.859767</v>
      </c>
      <c r="S40" s="52">
        <v>0.8185860000000003</v>
      </c>
      <c r="T40" s="52">
        <v>0.3967880000000001</v>
      </c>
      <c r="U40" s="52">
        <v>2.063031140054639</v>
      </c>
      <c r="V40" s="51" t="s">
        <v>186</v>
      </c>
      <c r="W40" s="51">
        <v>1.0</v>
      </c>
      <c r="X40" s="51" t="s">
        <v>399</v>
      </c>
      <c r="Y40" s="51" t="s">
        <v>260</v>
      </c>
      <c r="Z40" s="51" t="s">
        <v>400</v>
      </c>
      <c r="AA40" s="51"/>
    </row>
    <row r="41" ht="15.0" customHeight="1">
      <c r="A41" s="51">
        <v>57.0</v>
      </c>
      <c r="B41" s="51" t="s">
        <v>467</v>
      </c>
      <c r="C41" s="51" t="s">
        <v>370</v>
      </c>
      <c r="D41" s="51" t="s">
        <v>61</v>
      </c>
      <c r="E41" s="51" t="s">
        <v>260</v>
      </c>
      <c r="F41" s="51" t="s">
        <v>192</v>
      </c>
      <c r="G41" s="51" t="s">
        <v>308</v>
      </c>
      <c r="H41" s="52">
        <v>30.0</v>
      </c>
      <c r="I41" s="52">
        <v>0.2</v>
      </c>
      <c r="J41" s="52">
        <v>1.053</v>
      </c>
      <c r="K41" s="52">
        <v>0.0</v>
      </c>
      <c r="L41" s="52">
        <v>0.0</v>
      </c>
      <c r="M41" s="52">
        <v>100.0</v>
      </c>
      <c r="N41" s="52">
        <v>100.0</v>
      </c>
      <c r="O41" s="52">
        <v>12.437577</v>
      </c>
      <c r="P41" s="52">
        <v>79.477868</v>
      </c>
      <c r="Q41" s="52">
        <v>20.602523</v>
      </c>
      <c r="R41" s="52">
        <v>4.514926</v>
      </c>
      <c r="S41" s="52">
        <v>0.6193960000000001</v>
      </c>
      <c r="T41" s="52">
        <v>0.30279799999999996</v>
      </c>
      <c r="U41" s="52">
        <v>2.0455749377472774</v>
      </c>
      <c r="V41" s="51" t="s">
        <v>186</v>
      </c>
      <c r="W41" s="51">
        <v>1.0</v>
      </c>
      <c r="X41" s="51" t="s">
        <v>406</v>
      </c>
      <c r="Y41" s="51" t="s">
        <v>260</v>
      </c>
      <c r="Z41" s="51" t="s">
        <v>407</v>
      </c>
      <c r="AA41" s="51"/>
    </row>
    <row r="42" ht="15.0" customHeight="1">
      <c r="A42" s="51">
        <v>58.0</v>
      </c>
      <c r="B42" s="51" t="s">
        <v>471</v>
      </c>
      <c r="C42" s="51" t="s">
        <v>370</v>
      </c>
      <c r="D42" s="51" t="s">
        <v>61</v>
      </c>
      <c r="E42" s="51" t="s">
        <v>260</v>
      </c>
      <c r="F42" s="51" t="s">
        <v>192</v>
      </c>
      <c r="G42" s="51" t="s">
        <v>308</v>
      </c>
      <c r="H42" s="52">
        <v>30.0</v>
      </c>
      <c r="I42" s="52">
        <v>0.25</v>
      </c>
      <c r="J42" s="52">
        <v>1.074</v>
      </c>
      <c r="K42" s="52">
        <v>0.0</v>
      </c>
      <c r="L42" s="52">
        <v>0.0</v>
      </c>
      <c r="M42" s="52">
        <v>100.0</v>
      </c>
      <c r="N42" s="52">
        <v>100.0</v>
      </c>
      <c r="O42" s="52">
        <v>14.024314000000002</v>
      </c>
      <c r="P42" s="52">
        <v>79.74667900000001</v>
      </c>
      <c r="Q42" s="52">
        <v>22.137939</v>
      </c>
      <c r="R42" s="52">
        <v>3.7432679999999996</v>
      </c>
      <c r="S42" s="52">
        <v>0.9278799999999998</v>
      </c>
      <c r="T42" s="52">
        <v>0.4578</v>
      </c>
      <c r="U42" s="52">
        <v>2.026823940585408</v>
      </c>
      <c r="V42" s="51" t="s">
        <v>186</v>
      </c>
      <c r="W42" s="51">
        <v>1.0</v>
      </c>
      <c r="X42" s="51" t="s">
        <v>409</v>
      </c>
      <c r="Y42" s="51" t="s">
        <v>260</v>
      </c>
      <c r="Z42" s="51" t="s">
        <v>411</v>
      </c>
      <c r="AA42" s="51"/>
    </row>
    <row r="43" ht="15.0" customHeight="1">
      <c r="A43" s="51">
        <v>59.0</v>
      </c>
      <c r="B43" s="51" t="s">
        <v>474</v>
      </c>
      <c r="C43" s="51" t="s">
        <v>370</v>
      </c>
      <c r="D43" s="51" t="s">
        <v>61</v>
      </c>
      <c r="E43" s="51" t="s">
        <v>260</v>
      </c>
      <c r="F43" s="51" t="s">
        <v>192</v>
      </c>
      <c r="G43" s="51" t="s">
        <v>308</v>
      </c>
      <c r="H43" s="52">
        <v>30.0</v>
      </c>
      <c r="I43" s="52">
        <v>0.25</v>
      </c>
      <c r="J43" s="52">
        <v>1.074</v>
      </c>
      <c r="K43" s="52">
        <v>0.0</v>
      </c>
      <c r="L43" s="52">
        <v>0.0</v>
      </c>
      <c r="M43" s="52">
        <v>100.0</v>
      </c>
      <c r="N43" s="52">
        <v>100.0</v>
      </c>
      <c r="O43" s="52">
        <v>14.019730999999998</v>
      </c>
      <c r="P43" s="52">
        <v>79.75752600000001</v>
      </c>
      <c r="Q43" s="52">
        <v>19.796913000000004</v>
      </c>
      <c r="R43" s="52">
        <v>4.331588999999999</v>
      </c>
      <c r="S43" s="52">
        <v>0.687358</v>
      </c>
      <c r="T43" s="52">
        <v>0.31163</v>
      </c>
      <c r="U43" s="52">
        <v>2.2056862304656164</v>
      </c>
      <c r="V43" s="51" t="s">
        <v>186</v>
      </c>
      <c r="W43" s="51">
        <v>1.0</v>
      </c>
      <c r="X43" s="51" t="s">
        <v>415</v>
      </c>
      <c r="Y43" s="51" t="s">
        <v>260</v>
      </c>
      <c r="Z43" s="51" t="s">
        <v>416</v>
      </c>
      <c r="AA43" s="51"/>
    </row>
    <row r="44" ht="15.0" customHeight="1">
      <c r="A44" s="51">
        <v>60.0</v>
      </c>
      <c r="B44" s="51" t="s">
        <v>476</v>
      </c>
      <c r="C44" s="51" t="s">
        <v>370</v>
      </c>
      <c r="D44" s="51" t="s">
        <v>61</v>
      </c>
      <c r="E44" s="51" t="s">
        <v>260</v>
      </c>
      <c r="F44" s="51" t="s">
        <v>192</v>
      </c>
      <c r="G44" s="51" t="s">
        <v>308</v>
      </c>
      <c r="H44" s="52">
        <v>80.0</v>
      </c>
      <c r="I44" s="52">
        <v>0.5</v>
      </c>
      <c r="J44" s="52">
        <v>2.56</v>
      </c>
      <c r="K44" s="52">
        <v>0.0</v>
      </c>
      <c r="L44" s="52">
        <v>0.0</v>
      </c>
      <c r="M44" s="52">
        <v>100.0</v>
      </c>
      <c r="N44" s="52">
        <v>100.0</v>
      </c>
      <c r="O44" s="52">
        <v>11.595325999999998</v>
      </c>
      <c r="P44" s="52">
        <v>81.142292</v>
      </c>
      <c r="Q44" s="52">
        <v>15.093633</v>
      </c>
      <c r="R44" s="52">
        <v>3.821242999999999</v>
      </c>
      <c r="S44" s="52">
        <v>0.5879539999999999</v>
      </c>
      <c r="T44" s="52">
        <v>0.26791</v>
      </c>
      <c r="U44" s="52">
        <v>2.1945951998805566</v>
      </c>
      <c r="V44" s="51" t="s">
        <v>186</v>
      </c>
      <c r="W44" s="51">
        <v>2.0</v>
      </c>
      <c r="X44" s="51" t="s">
        <v>477</v>
      </c>
      <c r="Y44" s="51" t="s">
        <v>260</v>
      </c>
      <c r="Z44" s="51" t="s">
        <v>479</v>
      </c>
      <c r="AA44" s="51"/>
    </row>
    <row r="45" ht="15.0" customHeight="1">
      <c r="A45" s="51">
        <v>61.0</v>
      </c>
      <c r="B45" s="51" t="s">
        <v>480</v>
      </c>
      <c r="C45" s="51" t="s">
        <v>370</v>
      </c>
      <c r="D45" s="51" t="s">
        <v>61</v>
      </c>
      <c r="E45" s="51" t="s">
        <v>260</v>
      </c>
      <c r="F45" s="51" t="s">
        <v>192</v>
      </c>
      <c r="G45" s="51" t="s">
        <v>308</v>
      </c>
      <c r="H45" s="52">
        <v>70.0</v>
      </c>
      <c r="I45" s="52">
        <v>0.4</v>
      </c>
      <c r="J45" s="52">
        <v>2.1069999999999998</v>
      </c>
      <c r="K45" s="52">
        <v>0.0</v>
      </c>
      <c r="L45" s="52">
        <v>0.0</v>
      </c>
      <c r="M45" s="52">
        <v>100.0</v>
      </c>
      <c r="N45" s="52">
        <v>100.0</v>
      </c>
      <c r="O45" s="52">
        <v>11.584710999999999</v>
      </c>
      <c r="P45" s="52">
        <v>80.182802</v>
      </c>
      <c r="Q45" s="52">
        <v>16.513807</v>
      </c>
      <c r="R45" s="52">
        <v>3.9721080000000004</v>
      </c>
      <c r="S45" s="52">
        <v>0.5961390000000001</v>
      </c>
      <c r="T45" s="52">
        <v>0.27449700000000005</v>
      </c>
      <c r="U45" s="52">
        <v>2.1717505109345456</v>
      </c>
      <c r="V45" s="51" t="s">
        <v>186</v>
      </c>
      <c r="W45" s="51">
        <v>2.0</v>
      </c>
      <c r="X45" s="51" t="s">
        <v>482</v>
      </c>
      <c r="Y45" s="51" t="s">
        <v>260</v>
      </c>
      <c r="Z45" s="51" t="s">
        <v>483</v>
      </c>
      <c r="AA45" s="51"/>
    </row>
    <row r="46" ht="15.0" customHeight="1">
      <c r="A46" s="51">
        <v>62.0</v>
      </c>
      <c r="B46" s="51" t="s">
        <v>484</v>
      </c>
      <c r="C46" s="51" t="s">
        <v>370</v>
      </c>
      <c r="D46" s="51" t="s">
        <v>61</v>
      </c>
      <c r="E46" s="51" t="s">
        <v>260</v>
      </c>
      <c r="F46" s="51" t="s">
        <v>192</v>
      </c>
      <c r="G46" s="51" t="s">
        <v>308</v>
      </c>
      <c r="H46" s="52">
        <v>70.0</v>
      </c>
      <c r="I46" s="52">
        <v>0.3</v>
      </c>
      <c r="J46" s="52">
        <v>2.758</v>
      </c>
      <c r="K46" s="52">
        <v>0.0</v>
      </c>
      <c r="L46" s="52">
        <v>0.0</v>
      </c>
      <c r="M46" s="52">
        <v>100.0</v>
      </c>
      <c r="N46" s="52">
        <v>100.0</v>
      </c>
      <c r="O46" s="52">
        <v>8.520667150108768</v>
      </c>
      <c r="P46" s="52">
        <v>79.99999999999999</v>
      </c>
      <c r="Q46" s="52">
        <v>14.404497787130143</v>
      </c>
      <c r="R46" s="52">
        <v>3.417401362396638</v>
      </c>
      <c r="S46" s="52">
        <v>0.4884466460432187</v>
      </c>
      <c r="T46" s="52">
        <v>0.23886097524121233</v>
      </c>
      <c r="U46" s="52">
        <v>2.0448993208286272</v>
      </c>
      <c r="V46" s="51" t="s">
        <v>186</v>
      </c>
      <c r="W46" s="51">
        <v>0.0</v>
      </c>
      <c r="X46" s="51" t="s">
        <v>264</v>
      </c>
      <c r="Y46" s="51" t="s">
        <v>260</v>
      </c>
      <c r="Z46" s="51" t="s">
        <v>265</v>
      </c>
      <c r="AA46" s="51"/>
    </row>
    <row r="47" ht="15.0" customHeight="1">
      <c r="A47" s="51">
        <v>63.0</v>
      </c>
      <c r="B47" s="51" t="s">
        <v>485</v>
      </c>
      <c r="C47" s="51" t="s">
        <v>370</v>
      </c>
      <c r="D47" s="51" t="s">
        <v>61</v>
      </c>
      <c r="E47" s="51" t="s">
        <v>260</v>
      </c>
      <c r="F47" s="51" t="s">
        <v>192</v>
      </c>
      <c r="G47" s="51" t="s">
        <v>308</v>
      </c>
      <c r="H47" s="52">
        <v>60.0</v>
      </c>
      <c r="I47" s="52">
        <v>0.4</v>
      </c>
      <c r="J47" s="52">
        <v>2.016</v>
      </c>
      <c r="K47" s="52">
        <v>0.0</v>
      </c>
      <c r="L47" s="52">
        <v>0.0</v>
      </c>
      <c r="M47" s="52">
        <v>100.0</v>
      </c>
      <c r="N47" s="52">
        <v>100.0</v>
      </c>
      <c r="O47" s="52">
        <v>11.759684</v>
      </c>
      <c r="P47" s="52">
        <v>77.847365</v>
      </c>
      <c r="Q47" s="52">
        <v>19.342638000000004</v>
      </c>
      <c r="R47" s="52">
        <v>4.183675999999999</v>
      </c>
      <c r="S47" s="52">
        <v>0.6163</v>
      </c>
      <c r="T47" s="52">
        <v>0.28908199999999995</v>
      </c>
      <c r="U47" s="52">
        <v>2.1319210466234497</v>
      </c>
      <c r="V47" s="51" t="s">
        <v>186</v>
      </c>
      <c r="W47" s="51">
        <v>1.0</v>
      </c>
      <c r="X47" s="51" t="s">
        <v>489</v>
      </c>
      <c r="Y47" s="51" t="s">
        <v>260</v>
      </c>
      <c r="Z47" s="51" t="s">
        <v>491</v>
      </c>
      <c r="AA47" s="51"/>
    </row>
    <row r="48" ht="15.0" customHeight="1">
      <c r="A48" s="51">
        <v>64.0</v>
      </c>
      <c r="B48" s="51" t="s">
        <v>495</v>
      </c>
      <c r="C48" s="51" t="s">
        <v>370</v>
      </c>
      <c r="D48" s="51" t="s">
        <v>61</v>
      </c>
      <c r="E48" s="51" t="s">
        <v>260</v>
      </c>
      <c r="F48" s="51" t="s">
        <v>192</v>
      </c>
      <c r="G48" s="51" t="s">
        <v>308</v>
      </c>
      <c r="H48" s="52">
        <v>60.0</v>
      </c>
      <c r="I48" s="52">
        <v>0.3</v>
      </c>
      <c r="J48" s="52">
        <v>1.656</v>
      </c>
      <c r="K48" s="52">
        <v>0.0</v>
      </c>
      <c r="L48" s="52">
        <v>0.0</v>
      </c>
      <c r="M48" s="52">
        <v>100.0</v>
      </c>
      <c r="N48" s="52">
        <v>100.0</v>
      </c>
      <c r="O48" s="52">
        <v>11.471065999999999</v>
      </c>
      <c r="P48" s="52">
        <v>81.042233</v>
      </c>
      <c r="Q48" s="52">
        <v>15.545378</v>
      </c>
      <c r="R48" s="52">
        <v>3.8935949999999995</v>
      </c>
      <c r="S48" s="52">
        <v>0.650262</v>
      </c>
      <c r="T48" s="52">
        <v>0.2701779999999999</v>
      </c>
      <c r="U48" s="52">
        <v>2.4067910784741917</v>
      </c>
      <c r="V48" s="51" t="s">
        <v>186</v>
      </c>
      <c r="W48" s="51">
        <v>2.0</v>
      </c>
      <c r="X48" s="51" t="s">
        <v>503</v>
      </c>
      <c r="Y48" s="51" t="s">
        <v>260</v>
      </c>
      <c r="Z48" s="51" t="s">
        <v>505</v>
      </c>
      <c r="AA48" s="51"/>
    </row>
    <row r="49" ht="15.0" customHeight="1">
      <c r="A49" s="51">
        <v>65.0</v>
      </c>
      <c r="B49" s="51" t="s">
        <v>506</v>
      </c>
      <c r="C49" s="51" t="s">
        <v>370</v>
      </c>
      <c r="D49" s="51" t="s">
        <v>61</v>
      </c>
      <c r="E49" s="51" t="s">
        <v>260</v>
      </c>
      <c r="F49" s="51" t="s">
        <v>192</v>
      </c>
      <c r="G49" s="51" t="s">
        <v>308</v>
      </c>
      <c r="H49" s="52">
        <v>50.0</v>
      </c>
      <c r="I49" s="52">
        <v>0.4</v>
      </c>
      <c r="J49" s="52">
        <v>1.925</v>
      </c>
      <c r="K49" s="52">
        <v>0.0</v>
      </c>
      <c r="L49" s="52">
        <v>0.0</v>
      </c>
      <c r="M49" s="52">
        <v>100.0</v>
      </c>
      <c r="N49" s="52">
        <v>100.0</v>
      </c>
      <c r="O49" s="52">
        <v>11.945458999999998</v>
      </c>
      <c r="P49" s="52">
        <v>81.036499</v>
      </c>
      <c r="Q49" s="52">
        <v>15.289832</v>
      </c>
      <c r="R49" s="52">
        <v>3.8174689999999996</v>
      </c>
      <c r="S49" s="52">
        <v>0.644656</v>
      </c>
      <c r="T49" s="52">
        <v>0.27251999999999993</v>
      </c>
      <c r="U49" s="52">
        <v>2.3655364743872016</v>
      </c>
      <c r="V49" s="51" t="s">
        <v>186</v>
      </c>
      <c r="W49" s="51">
        <v>2.0</v>
      </c>
      <c r="X49" s="51" t="s">
        <v>507</v>
      </c>
      <c r="Y49" s="51" t="s">
        <v>260</v>
      </c>
      <c r="Z49" s="51" t="s">
        <v>508</v>
      </c>
      <c r="AA49" s="51"/>
    </row>
    <row r="50" ht="15.0" customHeight="1">
      <c r="A50" s="51">
        <v>66.0</v>
      </c>
      <c r="B50" s="51" t="s">
        <v>510</v>
      </c>
      <c r="C50" s="51" t="s">
        <v>370</v>
      </c>
      <c r="D50" s="51" t="s">
        <v>61</v>
      </c>
      <c r="E50" s="51" t="s">
        <v>260</v>
      </c>
      <c r="F50" s="51" t="s">
        <v>192</v>
      </c>
      <c r="G50" s="51" t="s">
        <v>308</v>
      </c>
      <c r="H50" s="52">
        <v>50.0</v>
      </c>
      <c r="I50" s="52">
        <v>0.3</v>
      </c>
      <c r="J50" s="52">
        <v>1.5650000000000002</v>
      </c>
      <c r="K50" s="52">
        <v>0.0</v>
      </c>
      <c r="L50" s="52">
        <v>0.0</v>
      </c>
      <c r="M50" s="52">
        <v>100.0</v>
      </c>
      <c r="N50" s="52">
        <v>100.0</v>
      </c>
      <c r="O50" s="52">
        <v>11.686710999999999</v>
      </c>
      <c r="P50" s="52">
        <v>80.70771699999999</v>
      </c>
      <c r="Q50" s="52">
        <v>16.266151</v>
      </c>
      <c r="R50" s="52">
        <v>3.9571699999999996</v>
      </c>
      <c r="S50" s="52">
        <v>0.6495530000000002</v>
      </c>
      <c r="T50" s="52">
        <v>0.276157</v>
      </c>
      <c r="U50" s="52">
        <v>2.3521149201360103</v>
      </c>
      <c r="V50" s="51" t="s">
        <v>186</v>
      </c>
      <c r="W50" s="51">
        <v>2.0</v>
      </c>
      <c r="X50" s="51" t="s">
        <v>512</v>
      </c>
      <c r="Y50" s="51" t="s">
        <v>260</v>
      </c>
      <c r="Z50" s="51" t="s">
        <v>513</v>
      </c>
      <c r="AA50" s="51"/>
    </row>
    <row r="51" ht="15.0" customHeight="1">
      <c r="A51" s="51">
        <v>67.0</v>
      </c>
      <c r="B51" s="51" t="s">
        <v>514</v>
      </c>
      <c r="C51" s="51" t="s">
        <v>370</v>
      </c>
      <c r="D51" s="51" t="s">
        <v>61</v>
      </c>
      <c r="E51" s="51" t="s">
        <v>260</v>
      </c>
      <c r="F51" s="51" t="s">
        <v>192</v>
      </c>
      <c r="G51" s="51" t="s">
        <v>308</v>
      </c>
      <c r="H51" s="52">
        <v>60.0</v>
      </c>
      <c r="I51" s="52">
        <v>0.4</v>
      </c>
      <c r="J51" s="52">
        <v>2.0820000000000003</v>
      </c>
      <c r="K51" s="52">
        <v>0.0</v>
      </c>
      <c r="L51" s="52">
        <v>0.0</v>
      </c>
      <c r="M51" s="52">
        <v>100.0</v>
      </c>
      <c r="N51" s="52">
        <v>100.0</v>
      </c>
      <c r="O51" s="52">
        <v>12.199109000000002</v>
      </c>
      <c r="P51" s="52">
        <v>77.636581</v>
      </c>
      <c r="Q51" s="52">
        <v>18.130984</v>
      </c>
      <c r="R51" s="52">
        <v>3.787186</v>
      </c>
      <c r="S51" s="52">
        <v>0.590124</v>
      </c>
      <c r="T51" s="52">
        <v>0.28785</v>
      </c>
      <c r="U51" s="52">
        <v>2.050109431995831</v>
      </c>
      <c r="V51" s="51" t="s">
        <v>186</v>
      </c>
      <c r="W51" s="51">
        <v>1.0</v>
      </c>
      <c r="X51" s="51" t="s">
        <v>515</v>
      </c>
      <c r="Y51" s="51" t="s">
        <v>260</v>
      </c>
      <c r="Z51" s="51" t="s">
        <v>516</v>
      </c>
      <c r="AA51" s="51"/>
    </row>
    <row r="52" ht="15.0" customHeight="1">
      <c r="A52" s="51">
        <v>68.0</v>
      </c>
      <c r="B52" s="51" t="s">
        <v>517</v>
      </c>
      <c r="C52" s="51" t="s">
        <v>370</v>
      </c>
      <c r="D52" s="51" t="s">
        <v>61</v>
      </c>
      <c r="E52" s="51" t="s">
        <v>260</v>
      </c>
      <c r="F52" s="51" t="s">
        <v>192</v>
      </c>
      <c r="G52" s="51" t="s">
        <v>308</v>
      </c>
      <c r="H52" s="52">
        <v>40.0</v>
      </c>
      <c r="I52" s="52">
        <v>0.4</v>
      </c>
      <c r="J52" s="52">
        <v>1.1640000000000001</v>
      </c>
      <c r="K52" s="52">
        <v>0.0</v>
      </c>
      <c r="L52" s="52">
        <v>0.0</v>
      </c>
      <c r="M52" s="52">
        <v>100.0</v>
      </c>
      <c r="N52" s="52">
        <v>100.0</v>
      </c>
      <c r="O52" s="52">
        <v>18.297696</v>
      </c>
      <c r="P52" s="52">
        <v>77.287513</v>
      </c>
      <c r="Q52" s="52">
        <v>17.350142</v>
      </c>
      <c r="R52" s="52">
        <v>3.28667</v>
      </c>
      <c r="S52" s="52">
        <v>0.6841770000000001</v>
      </c>
      <c r="T52" s="52">
        <v>0.33303499999999997</v>
      </c>
      <c r="U52" s="52">
        <v>2.0543696608464583</v>
      </c>
      <c r="V52" s="51" t="s">
        <v>186</v>
      </c>
      <c r="W52" s="51">
        <v>2.0</v>
      </c>
      <c r="X52" s="51" t="s">
        <v>519</v>
      </c>
      <c r="Y52" s="51" t="s">
        <v>260</v>
      </c>
      <c r="Z52" s="51" t="s">
        <v>520</v>
      </c>
      <c r="AA52" s="51"/>
    </row>
    <row r="53" ht="15.0" customHeight="1">
      <c r="A53" s="51">
        <v>69.0</v>
      </c>
      <c r="B53" s="51" t="s">
        <v>521</v>
      </c>
      <c r="C53" s="51" t="s">
        <v>370</v>
      </c>
      <c r="D53" s="51" t="s">
        <v>61</v>
      </c>
      <c r="E53" s="51" t="s">
        <v>260</v>
      </c>
      <c r="F53" s="51" t="s">
        <v>192</v>
      </c>
      <c r="G53" s="51" t="s">
        <v>308</v>
      </c>
      <c r="H53" s="52">
        <v>30.0</v>
      </c>
      <c r="I53" s="52">
        <v>0.3</v>
      </c>
      <c r="J53" s="52">
        <v>0.8790000000000001</v>
      </c>
      <c r="K53" s="52">
        <v>0.0</v>
      </c>
      <c r="L53" s="52">
        <v>0.0</v>
      </c>
      <c r="M53" s="52">
        <v>100.0</v>
      </c>
      <c r="N53" s="52">
        <v>100.0</v>
      </c>
      <c r="O53" s="52">
        <v>18.425336</v>
      </c>
      <c r="P53" s="52">
        <v>77.271304</v>
      </c>
      <c r="Q53" s="52">
        <v>17.288249000000004</v>
      </c>
      <c r="R53" s="52">
        <v>3.270923</v>
      </c>
      <c r="S53" s="52">
        <v>0.703567</v>
      </c>
      <c r="T53" s="52">
        <v>0.333723</v>
      </c>
      <c r="U53" s="52">
        <v>2.108236471564741</v>
      </c>
      <c r="V53" s="51" t="s">
        <v>186</v>
      </c>
      <c r="W53" s="51">
        <v>2.0</v>
      </c>
      <c r="X53" s="51" t="s">
        <v>522</v>
      </c>
      <c r="Y53" s="51" t="s">
        <v>260</v>
      </c>
      <c r="Z53" s="51" t="s">
        <v>523</v>
      </c>
      <c r="AA53" s="51"/>
    </row>
    <row r="54" ht="15.0" customHeight="1">
      <c r="A54" s="51">
        <v>70.0</v>
      </c>
      <c r="B54" s="51" t="s">
        <v>524</v>
      </c>
      <c r="C54" s="51" t="s">
        <v>370</v>
      </c>
      <c r="D54" s="51" t="s">
        <v>61</v>
      </c>
      <c r="E54" s="51" t="s">
        <v>260</v>
      </c>
      <c r="F54" s="51" t="s">
        <v>192</v>
      </c>
      <c r="G54" s="51" t="s">
        <v>308</v>
      </c>
      <c r="H54" s="52">
        <v>20.0</v>
      </c>
      <c r="I54" s="52">
        <v>0.3</v>
      </c>
      <c r="J54" s="52">
        <v>0.608</v>
      </c>
      <c r="K54" s="52">
        <v>0.0</v>
      </c>
      <c r="L54" s="52">
        <v>0.0</v>
      </c>
      <c r="M54" s="52">
        <v>100.0</v>
      </c>
      <c r="N54" s="52">
        <v>100.0</v>
      </c>
      <c r="O54" s="52">
        <v>24.339388</v>
      </c>
      <c r="P54" s="52">
        <v>79.02714000000002</v>
      </c>
      <c r="Q54" s="52">
        <v>15.171380000000001</v>
      </c>
      <c r="R54" s="52">
        <v>2.939749</v>
      </c>
      <c r="S54" s="52">
        <v>0.8499499999999999</v>
      </c>
      <c r="T54" s="52">
        <v>0.37006</v>
      </c>
      <c r="U54" s="52">
        <v>2.2967897097767924</v>
      </c>
      <c r="V54" s="51" t="s">
        <v>186</v>
      </c>
      <c r="W54" s="51">
        <v>2.0</v>
      </c>
      <c r="X54" s="51" t="s">
        <v>525</v>
      </c>
      <c r="Y54" s="51" t="s">
        <v>260</v>
      </c>
      <c r="Z54" s="51" t="s">
        <v>526</v>
      </c>
      <c r="AA54" s="51"/>
    </row>
    <row r="55" ht="15.0" customHeight="1">
      <c r="A55" s="51">
        <v>71.0</v>
      </c>
      <c r="B55" s="51" t="s">
        <v>527</v>
      </c>
      <c r="C55" s="51" t="s">
        <v>370</v>
      </c>
      <c r="D55" s="51" t="s">
        <v>61</v>
      </c>
      <c r="E55" s="51" t="s">
        <v>260</v>
      </c>
      <c r="F55" s="51" t="s">
        <v>192</v>
      </c>
      <c r="G55" s="51" t="s">
        <v>308</v>
      </c>
      <c r="H55" s="52">
        <v>20.0</v>
      </c>
      <c r="I55" s="52">
        <v>0.2</v>
      </c>
      <c r="J55" s="52">
        <v>0.594</v>
      </c>
      <c r="K55" s="52">
        <v>0.0</v>
      </c>
      <c r="L55" s="52">
        <v>0.0</v>
      </c>
      <c r="M55" s="52">
        <v>100.0</v>
      </c>
      <c r="N55" s="52">
        <v>100.0</v>
      </c>
      <c r="O55" s="52">
        <v>18.694246999999997</v>
      </c>
      <c r="P55" s="52">
        <v>77.81358299999998</v>
      </c>
      <c r="Q55" s="52">
        <v>17.237949999999998</v>
      </c>
      <c r="R55" s="52">
        <v>3.3854419999999994</v>
      </c>
      <c r="S55" s="52">
        <v>0.77195</v>
      </c>
      <c r="T55" s="52">
        <v>0.33546000000000004</v>
      </c>
      <c r="U55" s="52">
        <v>2.30116854468491</v>
      </c>
      <c r="V55" s="51" t="s">
        <v>186</v>
      </c>
      <c r="W55" s="51">
        <v>2.0</v>
      </c>
      <c r="X55" s="51" t="s">
        <v>528</v>
      </c>
      <c r="Y55" s="51" t="s">
        <v>260</v>
      </c>
      <c r="Z55" s="51" t="s">
        <v>529</v>
      </c>
      <c r="AA55" s="51"/>
    </row>
    <row r="56" ht="15.0" customHeight="1">
      <c r="A56" s="51">
        <v>72.0</v>
      </c>
      <c r="B56" s="51" t="s">
        <v>530</v>
      </c>
      <c r="C56" s="51" t="s">
        <v>370</v>
      </c>
      <c r="D56" s="51" t="s">
        <v>61</v>
      </c>
      <c r="E56" s="51" t="s">
        <v>260</v>
      </c>
      <c r="F56" s="51" t="s">
        <v>192</v>
      </c>
      <c r="G56" s="51" t="s">
        <v>308</v>
      </c>
      <c r="H56" s="52">
        <v>30.0</v>
      </c>
      <c r="I56" s="52">
        <v>0.3</v>
      </c>
      <c r="J56" s="52">
        <v>0.8790000000000001</v>
      </c>
      <c r="K56" s="52">
        <v>0.0</v>
      </c>
      <c r="L56" s="52">
        <v>0.0</v>
      </c>
      <c r="M56" s="52">
        <v>100.0</v>
      </c>
      <c r="N56" s="52">
        <v>100.00000000000003</v>
      </c>
      <c r="O56" s="52">
        <v>18.427646</v>
      </c>
      <c r="P56" s="52">
        <v>81.267973</v>
      </c>
      <c r="Q56" s="52">
        <v>18.300547</v>
      </c>
      <c r="R56" s="52">
        <v>3.502434</v>
      </c>
      <c r="S56" s="52">
        <v>0.8355319999999999</v>
      </c>
      <c r="T56" s="52">
        <v>0.407556</v>
      </c>
      <c r="U56" s="52">
        <v>2.050103544052842</v>
      </c>
      <c r="V56" s="51" t="s">
        <v>186</v>
      </c>
      <c r="W56" s="51">
        <v>2.0</v>
      </c>
      <c r="X56" s="51" t="s">
        <v>531</v>
      </c>
      <c r="Y56" s="51" t="s">
        <v>260</v>
      </c>
      <c r="Z56" s="51" t="s">
        <v>532</v>
      </c>
      <c r="AA56" s="51"/>
    </row>
    <row r="57" ht="15.0" customHeight="1">
      <c r="A57" s="51">
        <v>73.0</v>
      </c>
      <c r="B57" s="51" t="s">
        <v>533</v>
      </c>
      <c r="C57" s="51" t="s">
        <v>370</v>
      </c>
      <c r="D57" s="51" t="s">
        <v>61</v>
      </c>
      <c r="E57" s="51" t="s">
        <v>260</v>
      </c>
      <c r="F57" s="51" t="s">
        <v>192</v>
      </c>
      <c r="G57" s="51" t="s">
        <v>308</v>
      </c>
      <c r="H57" s="52">
        <v>40.0</v>
      </c>
      <c r="I57" s="52">
        <v>0.25</v>
      </c>
      <c r="J57" s="52">
        <v>1.3239999999999998</v>
      </c>
      <c r="K57" s="52">
        <v>0.0</v>
      </c>
      <c r="L57" s="52">
        <v>0.0</v>
      </c>
      <c r="M57" s="52">
        <v>100.0</v>
      </c>
      <c r="N57" s="52">
        <v>100.00000000000003</v>
      </c>
      <c r="O57" s="52">
        <v>12.310978</v>
      </c>
      <c r="P57" s="52">
        <v>80.51932400000001</v>
      </c>
      <c r="Q57" s="52">
        <v>21.144851</v>
      </c>
      <c r="R57" s="52">
        <v>3.85703</v>
      </c>
      <c r="S57" s="52">
        <v>0.870524</v>
      </c>
      <c r="T57" s="52">
        <v>0.42325799999999997</v>
      </c>
      <c r="U57" s="52">
        <v>2.056721904842909</v>
      </c>
      <c r="V57" s="51" t="s">
        <v>186</v>
      </c>
      <c r="W57" s="51">
        <v>1.0</v>
      </c>
      <c r="X57" s="51" t="s">
        <v>534</v>
      </c>
      <c r="Y57" s="51" t="s">
        <v>260</v>
      </c>
      <c r="Z57" s="51" t="s">
        <v>535</v>
      </c>
      <c r="AA57" s="51"/>
    </row>
    <row r="58" ht="15.0" customHeight="1">
      <c r="A58" s="51">
        <v>75.0</v>
      </c>
      <c r="B58" s="51" t="s">
        <v>536</v>
      </c>
      <c r="C58" s="51" t="s">
        <v>370</v>
      </c>
      <c r="D58" s="51" t="s">
        <v>61</v>
      </c>
      <c r="E58" s="51" t="s">
        <v>260</v>
      </c>
      <c r="F58" s="51" t="s">
        <v>192</v>
      </c>
      <c r="G58" s="51" t="s">
        <v>308</v>
      </c>
      <c r="H58" s="52">
        <v>30.0</v>
      </c>
      <c r="I58" s="52">
        <v>0.4</v>
      </c>
      <c r="J58" s="52">
        <v>1.2750000000000001</v>
      </c>
      <c r="K58" s="52">
        <v>0.0</v>
      </c>
      <c r="L58" s="52">
        <v>0.0</v>
      </c>
      <c r="M58" s="52">
        <v>100.0</v>
      </c>
      <c r="N58" s="52">
        <v>100.0</v>
      </c>
      <c r="O58" s="52">
        <v>15.530645999999997</v>
      </c>
      <c r="P58" s="52">
        <v>79.80346400000002</v>
      </c>
      <c r="Q58" s="52">
        <v>21.354895</v>
      </c>
      <c r="R58" s="52">
        <v>3.6477799999999996</v>
      </c>
      <c r="S58" s="52">
        <v>0.9851679999999999</v>
      </c>
      <c r="T58" s="52">
        <v>0.45239399999999996</v>
      </c>
      <c r="U58" s="52">
        <v>2.177676980684978</v>
      </c>
      <c r="V58" s="51" t="s">
        <v>186</v>
      </c>
      <c r="W58" s="51">
        <v>0.0</v>
      </c>
      <c r="X58" s="51" t="s">
        <v>264</v>
      </c>
      <c r="Y58" s="51" t="s">
        <v>260</v>
      </c>
      <c r="Z58" s="51" t="s">
        <v>537</v>
      </c>
      <c r="AA58" s="51"/>
    </row>
    <row r="59" ht="15.0" customHeight="1">
      <c r="A59" s="51">
        <v>76.0</v>
      </c>
      <c r="B59" s="51" t="s">
        <v>538</v>
      </c>
      <c r="C59" s="51" t="s">
        <v>370</v>
      </c>
      <c r="D59" s="51" t="s">
        <v>61</v>
      </c>
      <c r="E59" s="51" t="s">
        <v>260</v>
      </c>
      <c r="F59" s="51" t="s">
        <v>192</v>
      </c>
      <c r="G59" s="51" t="s">
        <v>308</v>
      </c>
      <c r="H59" s="52">
        <v>30.0</v>
      </c>
      <c r="I59" s="52">
        <v>0.25</v>
      </c>
      <c r="J59" s="52">
        <v>0.951</v>
      </c>
      <c r="K59" s="52">
        <v>0.0</v>
      </c>
      <c r="L59" s="52">
        <v>0.0</v>
      </c>
      <c r="M59" s="52">
        <v>100.0</v>
      </c>
      <c r="N59" s="52">
        <v>100.0</v>
      </c>
      <c r="O59" s="52">
        <v>14.405888538380655</v>
      </c>
      <c r="P59" s="52">
        <v>80.7499661755506</v>
      </c>
      <c r="Q59" s="52">
        <v>20.127453313952596</v>
      </c>
      <c r="R59" s="52">
        <v>3.7334049768448714</v>
      </c>
      <c r="S59" s="52">
        <v>0.8766710574799467</v>
      </c>
      <c r="T59" s="52">
        <v>0.41701306839868324</v>
      </c>
      <c r="U59" s="52">
        <v>2.10226279201833</v>
      </c>
      <c r="V59" s="51" t="s">
        <v>186</v>
      </c>
      <c r="W59" s="51">
        <v>0.0</v>
      </c>
      <c r="X59" s="51" t="s">
        <v>264</v>
      </c>
      <c r="Y59" s="51" t="s">
        <v>260</v>
      </c>
      <c r="Z59" s="51" t="s">
        <v>265</v>
      </c>
      <c r="AA59" s="51"/>
    </row>
    <row r="60" ht="15.0" customHeight="1">
      <c r="A60" s="51">
        <v>77.0</v>
      </c>
      <c r="B60" s="51" t="s">
        <v>539</v>
      </c>
      <c r="C60" s="51" t="s">
        <v>370</v>
      </c>
      <c r="D60" s="51" t="s">
        <v>61</v>
      </c>
      <c r="E60" s="51" t="s">
        <v>260</v>
      </c>
      <c r="F60" s="51" t="s">
        <v>192</v>
      </c>
      <c r="G60" s="51" t="s">
        <v>308</v>
      </c>
      <c r="H60" s="52">
        <v>30.0</v>
      </c>
      <c r="I60" s="52">
        <v>0.2</v>
      </c>
      <c r="J60" s="52">
        <v>1.0290000000000001</v>
      </c>
      <c r="K60" s="52">
        <v>0.0</v>
      </c>
      <c r="L60" s="52">
        <v>0.0</v>
      </c>
      <c r="M60" s="52">
        <v>100.0</v>
      </c>
      <c r="N60" s="52">
        <v>100.0</v>
      </c>
      <c r="O60" s="52">
        <v>11.947948000000002</v>
      </c>
      <c r="P60" s="52">
        <v>81.86484500000002</v>
      </c>
      <c r="Q60" s="52">
        <v>18.883124000000002</v>
      </c>
      <c r="R60" s="52">
        <v>3.900536000000001</v>
      </c>
      <c r="S60" s="52">
        <v>0.7590800000000002</v>
      </c>
      <c r="T60" s="52">
        <v>0.37122600000000006</v>
      </c>
      <c r="U60" s="52">
        <v>2.044792121241508</v>
      </c>
      <c r="V60" s="51" t="s">
        <v>186</v>
      </c>
      <c r="W60" s="51">
        <v>0.0</v>
      </c>
      <c r="X60" s="51" t="s">
        <v>264</v>
      </c>
      <c r="Y60" s="51" t="s">
        <v>260</v>
      </c>
      <c r="Z60" s="51" t="s">
        <v>540</v>
      </c>
      <c r="AA60" s="51"/>
    </row>
    <row r="61" ht="15.0" customHeight="1">
      <c r="A61" s="51">
        <v>78.0</v>
      </c>
      <c r="B61" s="51" t="s">
        <v>541</v>
      </c>
      <c r="C61" s="51" t="s">
        <v>370</v>
      </c>
      <c r="D61" s="51" t="s">
        <v>61</v>
      </c>
      <c r="E61" s="51" t="s">
        <v>260</v>
      </c>
      <c r="F61" s="51" t="s">
        <v>192</v>
      </c>
      <c r="G61" s="51" t="s">
        <v>308</v>
      </c>
      <c r="H61" s="52">
        <v>60.0</v>
      </c>
      <c r="I61" s="52">
        <v>0.4</v>
      </c>
      <c r="J61" s="52">
        <v>2.0820000000000003</v>
      </c>
      <c r="K61" s="52">
        <v>0.0</v>
      </c>
      <c r="L61" s="52">
        <v>0.0</v>
      </c>
      <c r="M61" s="52">
        <v>100.0</v>
      </c>
      <c r="N61" s="52">
        <v>100.0</v>
      </c>
      <c r="O61" s="52">
        <v>12.203486000000002</v>
      </c>
      <c r="P61" s="52">
        <v>81.25972099999998</v>
      </c>
      <c r="Q61" s="52">
        <v>19.797861</v>
      </c>
      <c r="R61" s="52">
        <v>3.873856</v>
      </c>
      <c r="S61" s="52">
        <v>0.8239839999999998</v>
      </c>
      <c r="T61" s="52">
        <v>0.39315999999999995</v>
      </c>
      <c r="U61" s="52">
        <v>2.095798148336555</v>
      </c>
      <c r="V61" s="51" t="s">
        <v>186</v>
      </c>
      <c r="W61" s="51">
        <v>1.0</v>
      </c>
      <c r="X61" s="51" t="s">
        <v>415</v>
      </c>
      <c r="Y61" s="51" t="s">
        <v>260</v>
      </c>
      <c r="Z61" s="51" t="s">
        <v>542</v>
      </c>
      <c r="AA61" s="51"/>
    </row>
    <row r="62" ht="15.0" customHeight="1">
      <c r="A62" s="51">
        <v>79.0</v>
      </c>
      <c r="B62" s="51" t="s">
        <v>543</v>
      </c>
      <c r="C62" s="51" t="s">
        <v>370</v>
      </c>
      <c r="D62" s="51" t="s">
        <v>61</v>
      </c>
      <c r="E62" s="51" t="s">
        <v>260</v>
      </c>
      <c r="F62" s="51" t="s">
        <v>192</v>
      </c>
      <c r="G62" s="51" t="s">
        <v>308</v>
      </c>
      <c r="H62" s="52">
        <v>40.0</v>
      </c>
      <c r="I62" s="52">
        <v>0.4</v>
      </c>
      <c r="J62" s="52">
        <v>1.1640000000000001</v>
      </c>
      <c r="K62" s="52">
        <v>0.0</v>
      </c>
      <c r="L62" s="52">
        <v>0.0</v>
      </c>
      <c r="M62" s="52">
        <v>100.0</v>
      </c>
      <c r="N62" s="52">
        <v>100.0</v>
      </c>
      <c r="O62" s="52">
        <v>18.299828</v>
      </c>
      <c r="P62" s="52">
        <v>79.977237</v>
      </c>
      <c r="Q62" s="52">
        <v>20.674715000000003</v>
      </c>
      <c r="R62" s="52">
        <v>3.490937</v>
      </c>
      <c r="S62" s="52">
        <v>0.9249659999999998</v>
      </c>
      <c r="T62" s="52">
        <v>0.458252</v>
      </c>
      <c r="U62" s="52">
        <v>2.018465822298648</v>
      </c>
      <c r="V62" s="51" t="s">
        <v>186</v>
      </c>
      <c r="W62" s="51">
        <v>1.0</v>
      </c>
      <c r="X62" s="51" t="s">
        <v>544</v>
      </c>
      <c r="Y62" s="51" t="s">
        <v>260</v>
      </c>
      <c r="Z62" s="51" t="s">
        <v>545</v>
      </c>
      <c r="AA62" s="51"/>
    </row>
    <row r="63" ht="15.0" customHeight="1">
      <c r="A63" s="51">
        <v>80.0</v>
      </c>
      <c r="B63" s="51" t="s">
        <v>546</v>
      </c>
      <c r="C63" s="51" t="s">
        <v>370</v>
      </c>
      <c r="D63" s="51" t="s">
        <v>61</v>
      </c>
      <c r="E63" s="51" t="s">
        <v>260</v>
      </c>
      <c r="F63" s="51" t="s">
        <v>192</v>
      </c>
      <c r="G63" s="51" t="s">
        <v>308</v>
      </c>
      <c r="H63" s="52">
        <v>40.0</v>
      </c>
      <c r="I63" s="52">
        <v>0.3</v>
      </c>
      <c r="J63" s="52">
        <v>1.5359999999999998</v>
      </c>
      <c r="K63" s="52">
        <v>0.0</v>
      </c>
      <c r="L63" s="52">
        <v>0.0</v>
      </c>
      <c r="M63" s="52">
        <v>100.0</v>
      </c>
      <c r="N63" s="52">
        <v>100.0</v>
      </c>
      <c r="O63" s="52">
        <v>12.373598000000003</v>
      </c>
      <c r="P63" s="52">
        <v>78.882149</v>
      </c>
      <c r="Q63" s="52">
        <v>24.074810999999997</v>
      </c>
      <c r="R63" s="52">
        <v>3.8284740000000004</v>
      </c>
      <c r="S63" s="52">
        <v>0.9894680000000001</v>
      </c>
      <c r="T63" s="52">
        <v>0.48750799999999994</v>
      </c>
      <c r="U63" s="52">
        <v>2.029644641728957</v>
      </c>
      <c r="V63" s="51" t="s">
        <v>186</v>
      </c>
      <c r="W63" s="51">
        <v>1.0</v>
      </c>
      <c r="X63" s="51" t="s">
        <v>547</v>
      </c>
      <c r="Y63" s="51" t="s">
        <v>260</v>
      </c>
      <c r="Z63" s="51" t="s">
        <v>548</v>
      </c>
      <c r="AA63" s="51"/>
    </row>
    <row r="64" ht="15.0" customHeight="1">
      <c r="A64" s="51">
        <v>82.0</v>
      </c>
      <c r="B64" s="51" t="s">
        <v>549</v>
      </c>
      <c r="C64" s="51" t="s">
        <v>370</v>
      </c>
      <c r="D64" s="51" t="s">
        <v>61</v>
      </c>
      <c r="E64" s="51" t="s">
        <v>260</v>
      </c>
      <c r="F64" s="51" t="s">
        <v>192</v>
      </c>
      <c r="G64" s="51" t="s">
        <v>308</v>
      </c>
      <c r="H64" s="52">
        <v>20.0</v>
      </c>
      <c r="I64" s="52">
        <v>0.3</v>
      </c>
      <c r="J64" s="52">
        <v>0.608</v>
      </c>
      <c r="K64" s="52">
        <v>0.0</v>
      </c>
      <c r="L64" s="52">
        <v>0.0</v>
      </c>
      <c r="M64" s="52">
        <v>100.0</v>
      </c>
      <c r="N64" s="52">
        <v>100.0</v>
      </c>
      <c r="O64" s="52">
        <v>24.339388</v>
      </c>
      <c r="P64" s="52">
        <v>79.02714000000002</v>
      </c>
      <c r="Q64" s="52">
        <v>15.171380000000001</v>
      </c>
      <c r="R64" s="52">
        <v>2.939749</v>
      </c>
      <c r="S64" s="52">
        <v>0.8499499999999999</v>
      </c>
      <c r="T64" s="52">
        <v>0.37006</v>
      </c>
      <c r="U64" s="52">
        <v>2.2967897097767924</v>
      </c>
      <c r="V64" s="51" t="s">
        <v>186</v>
      </c>
      <c r="W64" s="51">
        <v>2.0</v>
      </c>
      <c r="X64" s="51" t="s">
        <v>525</v>
      </c>
      <c r="Y64" s="51" t="s">
        <v>260</v>
      </c>
      <c r="Z64" s="51" t="s">
        <v>526</v>
      </c>
      <c r="AA64" s="51"/>
    </row>
    <row r="65" ht="15.0" customHeight="1">
      <c r="A65" s="51">
        <v>83.0</v>
      </c>
      <c r="B65" s="51" t="s">
        <v>550</v>
      </c>
      <c r="C65" s="51" t="s">
        <v>370</v>
      </c>
      <c r="D65" s="51" t="s">
        <v>61</v>
      </c>
      <c r="E65" s="51" t="s">
        <v>260</v>
      </c>
      <c r="F65" s="51" t="s">
        <v>192</v>
      </c>
      <c r="G65" s="51" t="s">
        <v>308</v>
      </c>
      <c r="H65" s="52">
        <v>40.0</v>
      </c>
      <c r="I65" s="52">
        <v>0.3</v>
      </c>
      <c r="J65" s="52">
        <v>1.552</v>
      </c>
      <c r="K65" s="52">
        <v>0.0</v>
      </c>
      <c r="L65" s="52">
        <v>0.0</v>
      </c>
      <c r="M65" s="52">
        <v>100.0</v>
      </c>
      <c r="N65" s="52">
        <v>100.0</v>
      </c>
      <c r="O65" s="52">
        <v>11.533505154639176</v>
      </c>
      <c r="P65" s="52">
        <v>82.81462942447556</v>
      </c>
      <c r="Q65" s="52">
        <v>17.29206178442695</v>
      </c>
      <c r="R65" s="52">
        <v>3.940045996459058</v>
      </c>
      <c r="S65" s="52">
        <v>0.6859523940998159</v>
      </c>
      <c r="T65" s="52">
        <v>0.3334486681474765</v>
      </c>
      <c r="U65" s="52">
        <v>2.0571454008520296</v>
      </c>
      <c r="V65" s="51" t="s">
        <v>186</v>
      </c>
      <c r="W65" s="51">
        <v>1.0</v>
      </c>
      <c r="X65" s="51" t="s">
        <v>551</v>
      </c>
      <c r="Y65" s="51" t="s">
        <v>260</v>
      </c>
      <c r="Z65" s="51" t="s">
        <v>265</v>
      </c>
      <c r="AA65" s="51"/>
    </row>
    <row r="66" ht="15.0" customHeight="1">
      <c r="A66" s="51">
        <v>84.0</v>
      </c>
      <c r="B66" s="51" t="s">
        <v>223</v>
      </c>
      <c r="C66" s="51" t="s">
        <v>258</v>
      </c>
      <c r="D66" s="51" t="s">
        <v>259</v>
      </c>
      <c r="E66" s="51" t="s">
        <v>260</v>
      </c>
      <c r="F66" s="51" t="s">
        <v>192</v>
      </c>
      <c r="G66" s="51" t="s">
        <v>308</v>
      </c>
      <c r="H66" s="52">
        <v>20.0</v>
      </c>
      <c r="I66" s="52">
        <v>0.2</v>
      </c>
      <c r="J66" s="52">
        <v>0.594</v>
      </c>
      <c r="K66" s="52">
        <v>50.0</v>
      </c>
      <c r="L66" s="52">
        <v>50.0</v>
      </c>
      <c r="M66" s="52">
        <v>50.0</v>
      </c>
      <c r="N66" s="52">
        <v>99.99999999999999</v>
      </c>
      <c r="O66" s="52">
        <v>18.676868686868684</v>
      </c>
      <c r="P66" s="52">
        <v>71.74781556919221</v>
      </c>
      <c r="Q66" s="52">
        <v>34.72712713510935</v>
      </c>
      <c r="R66" s="52">
        <v>3.085738822544235</v>
      </c>
      <c r="S66" s="52">
        <v>0.6228956228956279</v>
      </c>
      <c r="T66" s="52">
        <v>0.2785176423398658</v>
      </c>
      <c r="U66" s="52">
        <v>2.2364673837628177</v>
      </c>
      <c r="V66" s="51" t="s">
        <v>186</v>
      </c>
      <c r="W66" s="51">
        <v>1.0</v>
      </c>
      <c r="X66" s="51" t="s">
        <v>311</v>
      </c>
      <c r="Y66" s="51" t="s">
        <v>260</v>
      </c>
      <c r="Z66" s="51" t="s">
        <v>265</v>
      </c>
      <c r="AA66" s="51"/>
    </row>
    <row r="67" ht="15.0" customHeight="1">
      <c r="A67" s="51">
        <v>84.0</v>
      </c>
      <c r="B67" s="51" t="s">
        <v>223</v>
      </c>
      <c r="C67" s="51" t="s">
        <v>258</v>
      </c>
      <c r="D67" s="51" t="s">
        <v>266</v>
      </c>
      <c r="E67" s="51" t="s">
        <v>260</v>
      </c>
      <c r="F67" s="51" t="s">
        <v>192</v>
      </c>
      <c r="G67" s="51" t="s">
        <v>308</v>
      </c>
      <c r="H67" s="52">
        <v>20.0</v>
      </c>
      <c r="I67" s="52">
        <v>0.2</v>
      </c>
      <c r="J67" s="52">
        <v>0.594</v>
      </c>
      <c r="K67" s="52"/>
      <c r="L67" s="52">
        <v>47.5</v>
      </c>
      <c r="M67" s="52">
        <v>52.5</v>
      </c>
      <c r="N67" s="52">
        <v>100.0</v>
      </c>
      <c r="O67" s="52">
        <v>18.676868686868698</v>
      </c>
      <c r="P67" s="52">
        <v>72.309870884758</v>
      </c>
      <c r="Q67" s="52">
        <v>33.70130823433966</v>
      </c>
      <c r="R67" s="52">
        <v>3.1138928143877287</v>
      </c>
      <c r="S67" s="52">
        <v>0.6228956228956378</v>
      </c>
      <c r="T67" s="52">
        <v>0.27961689005432105</v>
      </c>
      <c r="U67" s="52">
        <v>2.2276752408433844</v>
      </c>
      <c r="V67" s="51" t="s">
        <v>186</v>
      </c>
      <c r="W67" s="51">
        <v>1.0</v>
      </c>
      <c r="X67" s="51" t="s">
        <v>552</v>
      </c>
      <c r="Y67" s="51" t="s">
        <v>260</v>
      </c>
      <c r="Z67" s="51" t="s">
        <v>270</v>
      </c>
      <c r="AA67" s="51"/>
    </row>
    <row r="68" ht="48.0" customHeight="1">
      <c r="A68" s="51">
        <v>85.0</v>
      </c>
      <c r="B68" s="51" t="s">
        <v>227</v>
      </c>
      <c r="C68" s="51" t="s">
        <v>258</v>
      </c>
      <c r="D68" s="51" t="s">
        <v>259</v>
      </c>
      <c r="E68" s="51" t="s">
        <v>260</v>
      </c>
      <c r="F68" s="51" t="s">
        <v>192</v>
      </c>
      <c r="G68" s="51" t="s">
        <v>308</v>
      </c>
      <c r="H68" s="52">
        <v>20.0</v>
      </c>
      <c r="I68" s="52">
        <v>0.2</v>
      </c>
      <c r="J68" s="52">
        <v>0.594</v>
      </c>
      <c r="K68" s="52">
        <v>50.0</v>
      </c>
      <c r="L68" s="52">
        <v>50.0</v>
      </c>
      <c r="M68" s="52">
        <v>50.0</v>
      </c>
      <c r="N68" s="52">
        <v>100.00000000000003</v>
      </c>
      <c r="O68" s="52">
        <v>18.676868686868684</v>
      </c>
      <c r="P68" s="52">
        <v>72.2946128629955</v>
      </c>
      <c r="Q68" s="52">
        <v>34.94584375891236</v>
      </c>
      <c r="R68" s="52">
        <v>2.9641907480100245</v>
      </c>
      <c r="S68" s="52">
        <v>0.6228956228956186</v>
      </c>
      <c r="T68" s="52">
        <v>0.3029680652981705</v>
      </c>
      <c r="U68" s="52">
        <v>2.055977821565407</v>
      </c>
      <c r="V68" s="51" t="s">
        <v>186</v>
      </c>
      <c r="W68" s="51">
        <v>1.0</v>
      </c>
      <c r="X68" s="51" t="s">
        <v>553</v>
      </c>
      <c r="Y68" s="51" t="s">
        <v>260</v>
      </c>
      <c r="Z68" s="51" t="s">
        <v>265</v>
      </c>
      <c r="AA68" s="51"/>
    </row>
    <row r="69" ht="15.0" customHeight="1">
      <c r="A69" s="51">
        <v>85.0</v>
      </c>
      <c r="B69" s="51" t="s">
        <v>227</v>
      </c>
      <c r="C69" s="51" t="s">
        <v>258</v>
      </c>
      <c r="D69" s="51" t="s">
        <v>266</v>
      </c>
      <c r="E69" s="51" t="s">
        <v>260</v>
      </c>
      <c r="F69" s="51" t="s">
        <v>192</v>
      </c>
      <c r="G69" s="51" t="s">
        <v>308</v>
      </c>
      <c r="H69" s="52">
        <v>20.0</v>
      </c>
      <c r="I69" s="52">
        <v>0.2</v>
      </c>
      <c r="J69" s="52">
        <v>0.594</v>
      </c>
      <c r="K69" s="52"/>
      <c r="L69" s="52">
        <v>47.5</v>
      </c>
      <c r="M69" s="52">
        <v>52.5</v>
      </c>
      <c r="N69" s="52">
        <v>100.0</v>
      </c>
      <c r="O69" s="52">
        <v>18.676868686868698</v>
      </c>
      <c r="P69" s="52">
        <v>72.85666817856132</v>
      </c>
      <c r="Q69" s="52">
        <v>33.920024858142675</v>
      </c>
      <c r="R69" s="52">
        <v>2.992344739853519</v>
      </c>
      <c r="S69" s="52">
        <v>0.6228956228956173</v>
      </c>
      <c r="T69" s="52">
        <v>0.3040673130126258</v>
      </c>
      <c r="U69" s="52">
        <v>2.0485451616752792</v>
      </c>
      <c r="V69" s="51" t="s">
        <v>186</v>
      </c>
      <c r="W69" s="51">
        <v>1.0</v>
      </c>
      <c r="X69" s="51" t="s">
        <v>554</v>
      </c>
      <c r="Y69" s="51" t="s">
        <v>260</v>
      </c>
      <c r="Z69" s="51" t="s">
        <v>270</v>
      </c>
      <c r="AA69" s="51"/>
    </row>
    <row r="70" ht="15.0" customHeight="1">
      <c r="A70" s="51">
        <v>86.0</v>
      </c>
      <c r="B70" s="51" t="s">
        <v>231</v>
      </c>
      <c r="C70" s="51" t="s">
        <v>258</v>
      </c>
      <c r="D70" s="51" t="s">
        <v>259</v>
      </c>
      <c r="E70" s="51" t="s">
        <v>260</v>
      </c>
      <c r="F70" s="51" t="s">
        <v>192</v>
      </c>
      <c r="G70" s="51" t="s">
        <v>308</v>
      </c>
      <c r="H70" s="52">
        <v>20.0</v>
      </c>
      <c r="I70" s="52">
        <v>0.2</v>
      </c>
      <c r="J70" s="52">
        <v>0.594</v>
      </c>
      <c r="K70" s="52">
        <v>50.0</v>
      </c>
      <c r="L70" s="52">
        <v>50.0</v>
      </c>
      <c r="M70" s="52">
        <v>50.0</v>
      </c>
      <c r="N70" s="52">
        <v>100.0</v>
      </c>
      <c r="O70" s="52">
        <v>18.680000000000003</v>
      </c>
      <c r="P70" s="52">
        <v>72.29424967835273</v>
      </c>
      <c r="Q70" s="52">
        <v>34.945930107519835</v>
      </c>
      <c r="R70" s="52">
        <v>2.964001891235569</v>
      </c>
      <c r="S70" s="52">
        <v>0.622895622895621</v>
      </c>
      <c r="T70" s="52">
        <v>0.30299343608533563</v>
      </c>
      <c r="U70" s="52">
        <v>2.0558056667610036</v>
      </c>
      <c r="V70" s="51" t="s">
        <v>186</v>
      </c>
      <c r="W70" s="51">
        <v>1.0</v>
      </c>
      <c r="X70" s="51" t="s">
        <v>553</v>
      </c>
      <c r="Y70" s="51" t="s">
        <v>260</v>
      </c>
      <c r="Z70" s="51" t="s">
        <v>265</v>
      </c>
      <c r="AA70" s="51"/>
    </row>
    <row r="71" ht="15.0" customHeight="1">
      <c r="A71" s="51">
        <v>86.0</v>
      </c>
      <c r="B71" s="51" t="s">
        <v>231</v>
      </c>
      <c r="C71" s="51" t="s">
        <v>258</v>
      </c>
      <c r="D71" s="51" t="s">
        <v>266</v>
      </c>
      <c r="E71" s="51" t="s">
        <v>260</v>
      </c>
      <c r="F71" s="51" t="s">
        <v>192</v>
      </c>
      <c r="G71" s="51" t="s">
        <v>308</v>
      </c>
      <c r="H71" s="52">
        <v>20.0</v>
      </c>
      <c r="I71" s="52">
        <v>0.2</v>
      </c>
      <c r="J71" s="52">
        <v>0.594</v>
      </c>
      <c r="K71" s="52"/>
      <c r="L71" s="52">
        <v>47.5</v>
      </c>
      <c r="M71" s="52">
        <v>52.5</v>
      </c>
      <c r="N71" s="52">
        <v>100.0</v>
      </c>
      <c r="O71" s="52">
        <v>18.679999999999993</v>
      </c>
      <c r="P71" s="52">
        <v>72.85630499391853</v>
      </c>
      <c r="Q71" s="52">
        <v>33.92011120675015</v>
      </c>
      <c r="R71" s="52">
        <v>2.992155883079065</v>
      </c>
      <c r="S71" s="52">
        <v>0.6228956228956253</v>
      </c>
      <c r="T71" s="52">
        <v>0.30409268379979076</v>
      </c>
      <c r="U71" s="52">
        <v>2.0483742492987065</v>
      </c>
      <c r="V71" s="51" t="s">
        <v>186</v>
      </c>
      <c r="W71" s="51">
        <v>1.0</v>
      </c>
      <c r="X71" s="51" t="s">
        <v>556</v>
      </c>
      <c r="Y71" s="51" t="s">
        <v>260</v>
      </c>
      <c r="Z71" s="51" t="s">
        <v>270</v>
      </c>
      <c r="AA71" s="51"/>
    </row>
    <row r="72" ht="15.0" customHeight="1">
      <c r="A72" s="51">
        <v>87.0</v>
      </c>
      <c r="B72" s="51" t="s">
        <v>234</v>
      </c>
      <c r="C72" s="51" t="s">
        <v>258</v>
      </c>
      <c r="D72" s="51" t="s">
        <v>259</v>
      </c>
      <c r="E72" s="51" t="s">
        <v>260</v>
      </c>
      <c r="F72" s="51" t="s">
        <v>192</v>
      </c>
      <c r="G72" s="51" t="s">
        <v>308</v>
      </c>
      <c r="H72" s="52">
        <v>20.0</v>
      </c>
      <c r="I72" s="52">
        <v>0.2</v>
      </c>
      <c r="J72" s="52">
        <v>0.594</v>
      </c>
      <c r="K72" s="52">
        <v>50.0</v>
      </c>
      <c r="L72" s="52">
        <v>50.0</v>
      </c>
      <c r="M72" s="52">
        <v>50.0</v>
      </c>
      <c r="N72" s="52">
        <v>99.99999999999999</v>
      </c>
      <c r="O72" s="52">
        <v>18.680000000000003</v>
      </c>
      <c r="P72" s="52">
        <v>71.42269502010609</v>
      </c>
      <c r="Q72" s="52">
        <v>34.804425851433614</v>
      </c>
      <c r="R72" s="52">
        <v>2.9166754564831483</v>
      </c>
      <c r="S72" s="52">
        <v>0.6228956228956242</v>
      </c>
      <c r="T72" s="52">
        <v>0.3012294073275698</v>
      </c>
      <c r="U72" s="52">
        <v>2.0678446650404907</v>
      </c>
      <c r="V72" s="51" t="s">
        <v>186</v>
      </c>
      <c r="W72" s="51">
        <v>1.0</v>
      </c>
      <c r="X72" s="51" t="s">
        <v>557</v>
      </c>
      <c r="Y72" s="51" t="s">
        <v>260</v>
      </c>
      <c r="Z72" s="51" t="s">
        <v>265</v>
      </c>
      <c r="AA72" s="51"/>
    </row>
    <row r="73" ht="15.0" customHeight="1">
      <c r="A73" s="51">
        <v>87.0</v>
      </c>
      <c r="B73" s="51" t="s">
        <v>234</v>
      </c>
      <c r="C73" s="51" t="s">
        <v>258</v>
      </c>
      <c r="D73" s="51" t="s">
        <v>266</v>
      </c>
      <c r="E73" s="51" t="s">
        <v>260</v>
      </c>
      <c r="F73" s="51" t="s">
        <v>192</v>
      </c>
      <c r="G73" s="51" t="s">
        <v>308</v>
      </c>
      <c r="H73" s="52">
        <v>20.0</v>
      </c>
      <c r="I73" s="52">
        <v>0.2</v>
      </c>
      <c r="J73" s="52">
        <v>0.594</v>
      </c>
      <c r="K73" s="52"/>
      <c r="L73" s="52">
        <v>47.025</v>
      </c>
      <c r="M73" s="52">
        <v>52.974999999999994</v>
      </c>
      <c r="N73" s="52">
        <v>99.99999999999999</v>
      </c>
      <c r="O73" s="52">
        <v>18.679999999999982</v>
      </c>
      <c r="P73" s="52">
        <v>72.0915408456294</v>
      </c>
      <c r="Q73" s="52">
        <v>33.58370135951769</v>
      </c>
      <c r="R73" s="52">
        <v>2.9501787067769083</v>
      </c>
      <c r="S73" s="52">
        <v>0.622895622895631</v>
      </c>
      <c r="T73" s="52">
        <v>0.3025375121077713</v>
      </c>
      <c r="U73" s="52">
        <v>2.0589037655394624</v>
      </c>
      <c r="V73" s="51" t="s">
        <v>186</v>
      </c>
      <c r="W73" s="51">
        <v>1.0</v>
      </c>
      <c r="X73" s="51" t="s">
        <v>558</v>
      </c>
      <c r="Y73" s="51" t="s">
        <v>260</v>
      </c>
      <c r="Z73" s="51" t="s">
        <v>270</v>
      </c>
      <c r="AA73" s="51"/>
    </row>
    <row r="74" ht="15.0" customHeight="1">
      <c r="A74" s="51">
        <v>88.0</v>
      </c>
      <c r="B74" s="51" t="s">
        <v>237</v>
      </c>
      <c r="C74" s="51" t="s">
        <v>258</v>
      </c>
      <c r="D74" s="51" t="s">
        <v>259</v>
      </c>
      <c r="E74" s="51" t="s">
        <v>260</v>
      </c>
      <c r="F74" s="51" t="s">
        <v>192</v>
      </c>
      <c r="G74" s="51" t="s">
        <v>308</v>
      </c>
      <c r="H74" s="52">
        <v>20.0</v>
      </c>
      <c r="I74" s="52">
        <v>0.1</v>
      </c>
      <c r="J74" s="52">
        <v>0.596</v>
      </c>
      <c r="K74" s="52">
        <v>50.0</v>
      </c>
      <c r="L74" s="52">
        <v>50.0</v>
      </c>
      <c r="M74" s="52">
        <v>50.0</v>
      </c>
      <c r="N74" s="52">
        <v>100.0</v>
      </c>
      <c r="O74" s="52">
        <v>12.406107382550337</v>
      </c>
      <c r="P74" s="52">
        <v>68.717196677761</v>
      </c>
      <c r="Q74" s="52">
        <v>40.572870910065376</v>
      </c>
      <c r="R74" s="52">
        <v>3.4484052548270188</v>
      </c>
      <c r="S74" s="52">
        <v>0.6955220797096795</v>
      </c>
      <c r="T74" s="52">
        <v>0.34776103985483975</v>
      </c>
      <c r="U74" s="52">
        <v>2.0</v>
      </c>
      <c r="V74" s="51" t="s">
        <v>186</v>
      </c>
      <c r="W74" s="51">
        <v>0.0</v>
      </c>
      <c r="X74" s="51" t="s">
        <v>264</v>
      </c>
      <c r="Y74" s="51" t="s">
        <v>260</v>
      </c>
      <c r="Z74" s="51" t="s">
        <v>265</v>
      </c>
      <c r="AA74" s="51"/>
    </row>
    <row r="75" ht="15.0" customHeight="1">
      <c r="A75" s="51">
        <v>88.0</v>
      </c>
      <c r="B75" s="51" t="s">
        <v>237</v>
      </c>
      <c r="C75" s="51" t="s">
        <v>258</v>
      </c>
      <c r="D75" s="51" t="s">
        <v>266</v>
      </c>
      <c r="E75" s="51" t="s">
        <v>260</v>
      </c>
      <c r="F75" s="51" t="s">
        <v>192</v>
      </c>
      <c r="G75" s="51" t="s">
        <v>308</v>
      </c>
      <c r="H75" s="52">
        <v>20.0</v>
      </c>
      <c r="I75" s="52">
        <v>0.1</v>
      </c>
      <c r="J75" s="52">
        <v>0.596</v>
      </c>
      <c r="K75" s="52"/>
      <c r="L75" s="52">
        <v>44.55</v>
      </c>
      <c r="M75" s="52">
        <v>55.45</v>
      </c>
      <c r="N75" s="52">
        <v>100.0</v>
      </c>
      <c r="O75" s="52">
        <v>12.406107382550337</v>
      </c>
      <c r="P75" s="52">
        <v>69.41189021729564</v>
      </c>
      <c r="Q75" s="52">
        <v>39.15472258867517</v>
      </c>
      <c r="R75" s="52">
        <v>3.529712250600672</v>
      </c>
      <c r="S75" s="52">
        <v>0.7267593117948284</v>
      </c>
      <c r="T75" s="52">
        <v>0.3633796558974144</v>
      </c>
      <c r="U75" s="52">
        <v>1.9999999999999991</v>
      </c>
      <c r="V75" s="51" t="s">
        <v>203</v>
      </c>
      <c r="W75" s="51">
        <v>0.0</v>
      </c>
      <c r="X75" s="51" t="s">
        <v>264</v>
      </c>
      <c r="Y75" s="51" t="s">
        <v>260</v>
      </c>
      <c r="Z75" s="51" t="s">
        <v>270</v>
      </c>
      <c r="AA75" s="51"/>
    </row>
    <row r="76" ht="15.0" customHeight="1">
      <c r="A76" s="51">
        <v>89.0</v>
      </c>
      <c r="B76" s="51" t="s">
        <v>250</v>
      </c>
      <c r="C76" s="51" t="s">
        <v>258</v>
      </c>
      <c r="D76" s="51" t="s">
        <v>259</v>
      </c>
      <c r="E76" s="51" t="s">
        <v>260</v>
      </c>
      <c r="F76" s="51" t="s">
        <v>192</v>
      </c>
      <c r="G76" s="51" t="s">
        <v>308</v>
      </c>
      <c r="H76" s="52">
        <v>20.0</v>
      </c>
      <c r="I76" s="52">
        <v>0.2</v>
      </c>
      <c r="J76" s="52">
        <v>0.594</v>
      </c>
      <c r="K76" s="52">
        <v>50.0</v>
      </c>
      <c r="L76" s="52">
        <v>50.0</v>
      </c>
      <c r="M76" s="52">
        <v>50.0</v>
      </c>
      <c r="N76" s="52">
        <v>100.0</v>
      </c>
      <c r="O76" s="52">
        <v>18.676868686868637</v>
      </c>
      <c r="P76" s="52">
        <v>71.73951799238768</v>
      </c>
      <c r="Q76" s="52">
        <v>34.725779953470266</v>
      </c>
      <c r="R76" s="52">
        <v>3.0852882544432836</v>
      </c>
      <c r="S76" s="52">
        <v>0.6228956228956415</v>
      </c>
      <c r="T76" s="52">
        <v>0.27871730802666833</v>
      </c>
      <c r="U76" s="52">
        <v>2.2348652378489584</v>
      </c>
      <c r="V76" s="51" t="s">
        <v>186</v>
      </c>
      <c r="W76" s="51">
        <v>1.0</v>
      </c>
      <c r="X76" s="51" t="s">
        <v>311</v>
      </c>
      <c r="Y76" s="51" t="s">
        <v>260</v>
      </c>
      <c r="Z76" s="51" t="s">
        <v>265</v>
      </c>
      <c r="AA76" s="51"/>
    </row>
    <row r="77" ht="15.0" customHeight="1">
      <c r="A77" s="51">
        <v>89.0</v>
      </c>
      <c r="B77" s="51" t="s">
        <v>250</v>
      </c>
      <c r="C77" s="51" t="s">
        <v>258</v>
      </c>
      <c r="D77" s="51" t="s">
        <v>266</v>
      </c>
      <c r="E77" s="51" t="s">
        <v>260</v>
      </c>
      <c r="F77" s="51" t="s">
        <v>192</v>
      </c>
      <c r="G77" s="51" t="s">
        <v>308</v>
      </c>
      <c r="H77" s="52">
        <v>20.0</v>
      </c>
      <c r="I77" s="52">
        <v>0.2</v>
      </c>
      <c r="J77" s="52">
        <v>0.594</v>
      </c>
      <c r="K77" s="52"/>
      <c r="L77" s="52">
        <v>47.5</v>
      </c>
      <c r="M77" s="52">
        <v>52.5</v>
      </c>
      <c r="N77" s="52">
        <v>100.0</v>
      </c>
      <c r="O77" s="52">
        <v>18.67686868686869</v>
      </c>
      <c r="P77" s="52">
        <v>72.30142585825826</v>
      </c>
      <c r="Q77" s="52">
        <v>33.69993711299785</v>
      </c>
      <c r="R77" s="52">
        <v>3.1134342395963013</v>
      </c>
      <c r="S77" s="52">
        <v>0.6228956228956257</v>
      </c>
      <c r="T77" s="52">
        <v>0.27982010384262</v>
      </c>
      <c r="U77" s="52">
        <v>2.2260574359802345</v>
      </c>
      <c r="V77" s="51" t="s">
        <v>186</v>
      </c>
      <c r="W77" s="51">
        <v>1.0</v>
      </c>
      <c r="X77" s="51" t="s">
        <v>559</v>
      </c>
      <c r="Y77" s="51" t="s">
        <v>260</v>
      </c>
      <c r="Z77" s="51" t="s">
        <v>270</v>
      </c>
      <c r="AA77" s="51"/>
    </row>
    <row r="78" ht="15.0" customHeight="1">
      <c r="A78" s="51">
        <v>90.0</v>
      </c>
      <c r="B78" s="51" t="s">
        <v>560</v>
      </c>
      <c r="C78" s="51" t="s">
        <v>370</v>
      </c>
      <c r="D78" s="51" t="s">
        <v>61</v>
      </c>
      <c r="E78" s="51" t="s">
        <v>260</v>
      </c>
      <c r="F78" s="51" t="s">
        <v>192</v>
      </c>
      <c r="G78" s="51" t="s">
        <v>308</v>
      </c>
      <c r="H78" s="52">
        <v>60.0</v>
      </c>
      <c r="I78" s="52">
        <v>-0.029</v>
      </c>
      <c r="J78" s="52">
        <v>1.8059999999999998</v>
      </c>
      <c r="K78" s="52">
        <v>0.0</v>
      </c>
      <c r="L78" s="52">
        <v>0.0</v>
      </c>
      <c r="M78" s="52">
        <v>100.0</v>
      </c>
      <c r="N78" s="52">
        <v>100.0</v>
      </c>
      <c r="O78" s="52">
        <v>14.839424141749724</v>
      </c>
      <c r="P78" s="52">
        <v>80.70632484548818</v>
      </c>
      <c r="Q78" s="52">
        <v>16.696642672691635</v>
      </c>
      <c r="R78" s="52">
        <v>7.000000000000399</v>
      </c>
      <c r="S78" s="52">
        <v>1.4341755955339435</v>
      </c>
      <c r="T78" s="52">
        <v>0.6951441032641855</v>
      </c>
      <c r="U78" s="52">
        <v>2.0631342318801105</v>
      </c>
      <c r="V78" s="51" t="s">
        <v>186</v>
      </c>
      <c r="W78" s="51">
        <v>1.0</v>
      </c>
      <c r="X78" s="51" t="s">
        <v>561</v>
      </c>
      <c r="Y78" s="51" t="s">
        <v>260</v>
      </c>
      <c r="Z78" s="51" t="s">
        <v>265</v>
      </c>
      <c r="AA78" s="51"/>
    </row>
    <row r="79" ht="15.0" customHeight="1">
      <c r="A79" s="51">
        <v>91.0</v>
      </c>
      <c r="B79" s="51" t="s">
        <v>261</v>
      </c>
      <c r="C79" s="51" t="s">
        <v>258</v>
      </c>
      <c r="D79" s="51" t="s">
        <v>259</v>
      </c>
      <c r="E79" s="51" t="s">
        <v>260</v>
      </c>
      <c r="F79" s="51" t="s">
        <v>192</v>
      </c>
      <c r="G79" s="51" t="s">
        <v>308</v>
      </c>
      <c r="H79" s="52">
        <v>20.0</v>
      </c>
      <c r="I79" s="52">
        <v>0.2</v>
      </c>
      <c r="J79" s="52">
        <v>0.594</v>
      </c>
      <c r="K79" s="52">
        <v>50.0</v>
      </c>
      <c r="L79" s="52">
        <v>50.0</v>
      </c>
      <c r="M79" s="52">
        <v>50.0</v>
      </c>
      <c r="N79" s="52">
        <v>99.99999999999999</v>
      </c>
      <c r="O79" s="52">
        <v>18.69686868686869</v>
      </c>
      <c r="P79" s="52">
        <v>70.75730446557516</v>
      </c>
      <c r="Q79" s="52">
        <v>34.697176902293606</v>
      </c>
      <c r="R79" s="52">
        <v>2.879632824185827</v>
      </c>
      <c r="S79" s="52">
        <v>0.9013610686966534</v>
      </c>
      <c r="T79" s="52">
        <v>0.30045368956555113</v>
      </c>
      <c r="U79" s="52">
        <v>3.0</v>
      </c>
      <c r="V79" s="51" t="s">
        <v>203</v>
      </c>
      <c r="W79" s="51">
        <v>1.0</v>
      </c>
      <c r="X79" s="51" t="s">
        <v>562</v>
      </c>
      <c r="Y79" s="51" t="s">
        <v>342</v>
      </c>
      <c r="Z79" s="51" t="s">
        <v>265</v>
      </c>
      <c r="AA79" s="51"/>
    </row>
    <row r="80" ht="15.0" customHeight="1">
      <c r="A80" s="51">
        <v>91.0</v>
      </c>
      <c r="B80" s="51" t="s">
        <v>261</v>
      </c>
      <c r="C80" s="51" t="s">
        <v>258</v>
      </c>
      <c r="D80" s="51" t="s">
        <v>266</v>
      </c>
      <c r="E80" s="51" t="s">
        <v>260</v>
      </c>
      <c r="F80" s="51" t="s">
        <v>192</v>
      </c>
      <c r="G80" s="51" t="s">
        <v>308</v>
      </c>
      <c r="H80" s="52">
        <v>20.0</v>
      </c>
      <c r="I80" s="52">
        <v>0.2</v>
      </c>
      <c r="J80" s="52">
        <v>0.594</v>
      </c>
      <c r="K80" s="52"/>
      <c r="L80" s="52">
        <v>39.6</v>
      </c>
      <c r="M80" s="52">
        <v>60.4</v>
      </c>
      <c r="N80" s="52">
        <v>100.0</v>
      </c>
      <c r="O80" s="52">
        <v>18.676868734380818</v>
      </c>
      <c r="P80" s="52">
        <v>73.06626682262333</v>
      </c>
      <c r="Q80" s="52">
        <v>30.4241032597141</v>
      </c>
      <c r="R80" s="52">
        <v>2.9962487828264917</v>
      </c>
      <c r="S80" s="52">
        <v>0.9144823585163523</v>
      </c>
      <c r="T80" s="52">
        <v>0.3048274529108493</v>
      </c>
      <c r="U80" s="52">
        <v>2.9999999992907607</v>
      </c>
      <c r="V80" s="51" t="s">
        <v>203</v>
      </c>
      <c r="W80" s="51">
        <v>1.0</v>
      </c>
      <c r="X80" s="51" t="s">
        <v>563</v>
      </c>
      <c r="Y80" s="51" t="s">
        <v>260</v>
      </c>
      <c r="Z80" s="51" t="s">
        <v>270</v>
      </c>
      <c r="AA80" s="51"/>
    </row>
    <row r="81" ht="15.0" customHeight="1">
      <c r="A81" s="51">
        <v>92.0</v>
      </c>
      <c r="B81" s="51" t="s">
        <v>267</v>
      </c>
      <c r="C81" s="51" t="s">
        <v>258</v>
      </c>
      <c r="D81" s="51" t="s">
        <v>259</v>
      </c>
      <c r="E81" s="51" t="s">
        <v>260</v>
      </c>
      <c r="F81" s="51" t="s">
        <v>192</v>
      </c>
      <c r="G81" s="51" t="s">
        <v>308</v>
      </c>
      <c r="H81" s="52">
        <v>20.0</v>
      </c>
      <c r="I81" s="52">
        <v>0.2</v>
      </c>
      <c r="J81" s="52">
        <v>0.594</v>
      </c>
      <c r="K81" s="52">
        <v>50.0</v>
      </c>
      <c r="L81" s="52">
        <v>50.0</v>
      </c>
      <c r="M81" s="52">
        <v>50.0</v>
      </c>
      <c r="N81" s="52">
        <v>100.0</v>
      </c>
      <c r="O81" s="52">
        <v>18.67686868686869</v>
      </c>
      <c r="P81" s="52">
        <v>67.54537296702371</v>
      </c>
      <c r="Q81" s="52">
        <v>39.36352831113879</v>
      </c>
      <c r="R81" s="52">
        <v>2.245368931240285</v>
      </c>
      <c r="S81" s="52">
        <v>0.663437413794991</v>
      </c>
      <c r="T81" s="52">
        <v>0.3317187068974887</v>
      </c>
      <c r="U81" s="52">
        <v>2.000000000000041</v>
      </c>
      <c r="V81" s="51" t="s">
        <v>186</v>
      </c>
      <c r="W81" s="51">
        <v>1.0</v>
      </c>
      <c r="X81" s="51" t="s">
        <v>564</v>
      </c>
      <c r="Y81" s="51" t="s">
        <v>260</v>
      </c>
      <c r="Z81" s="51" t="s">
        <v>265</v>
      </c>
      <c r="AA81" s="51"/>
    </row>
    <row r="82" ht="15.0" customHeight="1">
      <c r="A82" s="51">
        <v>92.0</v>
      </c>
      <c r="B82" s="51" t="s">
        <v>267</v>
      </c>
      <c r="C82" s="51" t="s">
        <v>258</v>
      </c>
      <c r="D82" s="51" t="s">
        <v>266</v>
      </c>
      <c r="E82" s="51" t="s">
        <v>260</v>
      </c>
      <c r="F82" s="51" t="s">
        <v>192</v>
      </c>
      <c r="G82" s="51" t="s">
        <v>308</v>
      </c>
      <c r="H82" s="52">
        <v>20.0</v>
      </c>
      <c r="I82" s="52">
        <v>0.2</v>
      </c>
      <c r="J82" s="52">
        <v>0.594</v>
      </c>
      <c r="K82" s="52"/>
      <c r="L82" s="52">
        <v>37.125</v>
      </c>
      <c r="M82" s="52">
        <v>62.87499999999999</v>
      </c>
      <c r="N82" s="52">
        <v>100.0</v>
      </c>
      <c r="O82" s="52">
        <v>18.6768686868687</v>
      </c>
      <c r="P82" s="52">
        <v>71.39901242903409</v>
      </c>
      <c r="Q82" s="52">
        <v>32.90016491711925</v>
      </c>
      <c r="R82" s="52">
        <v>2.561129903730258</v>
      </c>
      <c r="S82" s="52">
        <v>0.6590398771571696</v>
      </c>
      <c r="T82" s="52">
        <v>0.3295199385785878</v>
      </c>
      <c r="U82" s="52">
        <v>1.9999999999999818</v>
      </c>
      <c r="V82" s="51" t="s">
        <v>203</v>
      </c>
      <c r="W82" s="51">
        <v>1.0</v>
      </c>
      <c r="X82" s="51" t="s">
        <v>565</v>
      </c>
      <c r="Y82" s="51" t="s">
        <v>260</v>
      </c>
      <c r="Z82" s="51" t="s">
        <v>270</v>
      </c>
      <c r="AA82" s="51"/>
    </row>
    <row r="83" ht="15.0" customHeight="1">
      <c r="A83" s="51">
        <v>93.0</v>
      </c>
      <c r="B83" s="51" t="s">
        <v>566</v>
      </c>
      <c r="C83" s="51" t="s">
        <v>370</v>
      </c>
      <c r="D83" s="51" t="s">
        <v>61</v>
      </c>
      <c r="E83" s="51" t="s">
        <v>260</v>
      </c>
      <c r="F83" s="51" t="s">
        <v>192</v>
      </c>
      <c r="G83" s="51" t="s">
        <v>308</v>
      </c>
      <c r="H83" s="52">
        <v>20.0</v>
      </c>
      <c r="I83" s="52">
        <v>0.2</v>
      </c>
      <c r="J83" s="52">
        <v>0.594</v>
      </c>
      <c r="K83" s="52">
        <v>0.0</v>
      </c>
      <c r="L83" s="52">
        <v>0.0</v>
      </c>
      <c r="M83" s="52">
        <v>100.0</v>
      </c>
      <c r="N83" s="52">
        <v>100.0</v>
      </c>
      <c r="O83" s="52">
        <v>18.686868686868692</v>
      </c>
      <c r="P83" s="52">
        <v>82.55970014057368</v>
      </c>
      <c r="Q83" s="52">
        <v>14.271464883750525</v>
      </c>
      <c r="R83" s="52">
        <v>3.4737314705011686</v>
      </c>
      <c r="S83" s="52">
        <v>0.6621859644219072</v>
      </c>
      <c r="T83" s="52">
        <v>0.3233746113447897</v>
      </c>
      <c r="U83" s="52">
        <v>2.047736405984788</v>
      </c>
      <c r="V83" s="51" t="s">
        <v>186</v>
      </c>
      <c r="W83" s="51">
        <v>2.0</v>
      </c>
      <c r="X83" s="51" t="s">
        <v>567</v>
      </c>
      <c r="Y83" s="51" t="s">
        <v>260</v>
      </c>
      <c r="Z83" s="51" t="s">
        <v>568</v>
      </c>
      <c r="AA83" s="51"/>
    </row>
    <row r="84" ht="15.0" customHeight="1">
      <c r="A84" s="51">
        <v>94.0</v>
      </c>
      <c r="B84" s="51" t="s">
        <v>569</v>
      </c>
      <c r="C84" s="51" t="s">
        <v>370</v>
      </c>
      <c r="D84" s="51" t="s">
        <v>61</v>
      </c>
      <c r="E84" s="51" t="s">
        <v>260</v>
      </c>
      <c r="F84" s="51" t="s">
        <v>192</v>
      </c>
      <c r="G84" s="51" t="s">
        <v>308</v>
      </c>
      <c r="H84" s="52">
        <v>70.0</v>
      </c>
      <c r="I84" s="52">
        <v>0.181</v>
      </c>
      <c r="J84" s="52">
        <v>1.827</v>
      </c>
      <c r="K84" s="52">
        <v>0.0</v>
      </c>
      <c r="L84" s="52">
        <v>0.0</v>
      </c>
      <c r="M84" s="52">
        <v>100.0</v>
      </c>
      <c r="N84" s="52">
        <v>100.0</v>
      </c>
      <c r="O84" s="52">
        <v>10.016420361247949</v>
      </c>
      <c r="P84" s="52">
        <v>83.89332095315525</v>
      </c>
      <c r="Q84" s="52">
        <v>14.085620396020005</v>
      </c>
      <c r="R84" s="52">
        <v>4.014476107400895</v>
      </c>
      <c r="S84" s="52">
        <v>0.52229325088561</v>
      </c>
      <c r="T84" s="52">
        <v>0.25371027989444617</v>
      </c>
      <c r="U84" s="52">
        <v>2.0586207665803107</v>
      </c>
      <c r="V84" s="51" t="s">
        <v>186</v>
      </c>
      <c r="W84" s="51">
        <v>2.0</v>
      </c>
      <c r="X84" s="51" t="s">
        <v>570</v>
      </c>
      <c r="Y84" s="51" t="s">
        <v>260</v>
      </c>
      <c r="Z84" s="51" t="s">
        <v>265</v>
      </c>
      <c r="AA84" s="51"/>
    </row>
    <row r="85" ht="15.0" customHeight="1">
      <c r="A85" s="51">
        <v>95.0</v>
      </c>
      <c r="B85" s="51" t="s">
        <v>571</v>
      </c>
      <c r="C85" s="51" t="s">
        <v>370</v>
      </c>
      <c r="D85" s="51" t="s">
        <v>61</v>
      </c>
      <c r="E85" s="51" t="s">
        <v>260</v>
      </c>
      <c r="F85" s="51" t="s">
        <v>192</v>
      </c>
      <c r="G85" s="51" t="s">
        <v>308</v>
      </c>
      <c r="H85" s="52">
        <v>70.0</v>
      </c>
      <c r="I85" s="52">
        <v>-0.031</v>
      </c>
      <c r="J85" s="52">
        <v>1.981</v>
      </c>
      <c r="K85" s="52">
        <v>0.0</v>
      </c>
      <c r="L85" s="52">
        <v>0.0</v>
      </c>
      <c r="M85" s="52">
        <v>100.0</v>
      </c>
      <c r="N85" s="52">
        <v>100.0</v>
      </c>
      <c r="O85" s="52">
        <v>14.740030287733468</v>
      </c>
      <c r="P85" s="52">
        <v>83.16536186582566</v>
      </c>
      <c r="Q85" s="52">
        <v>14.186638435054816</v>
      </c>
      <c r="R85" s="52">
        <v>3.7198049916010922</v>
      </c>
      <c r="S85" s="52">
        <v>0.5991049925755991</v>
      </c>
      <c r="T85" s="52">
        <v>0.2916606341621618</v>
      </c>
      <c r="U85" s="52">
        <v>2.054116745294121</v>
      </c>
      <c r="V85" s="51" t="s">
        <v>186</v>
      </c>
      <c r="W85" s="51">
        <v>2.0</v>
      </c>
      <c r="X85" s="51" t="s">
        <v>572</v>
      </c>
      <c r="Y85" s="51" t="s">
        <v>260</v>
      </c>
      <c r="Z85" s="51" t="s">
        <v>265</v>
      </c>
      <c r="AA85" s="51"/>
    </row>
    <row r="86" ht="15.0" customHeight="1">
      <c r="A86" s="51">
        <v>96.0</v>
      </c>
      <c r="B86" s="51" t="s">
        <v>573</v>
      </c>
      <c r="C86" s="51" t="s">
        <v>370</v>
      </c>
      <c r="D86" s="51" t="s">
        <v>61</v>
      </c>
      <c r="E86" s="51" t="s">
        <v>260</v>
      </c>
      <c r="F86" s="51" t="s">
        <v>192</v>
      </c>
      <c r="G86" s="51" t="s">
        <v>308</v>
      </c>
      <c r="H86" s="52">
        <v>20.0</v>
      </c>
      <c r="I86" s="52">
        <v>0.2</v>
      </c>
      <c r="J86" s="52">
        <v>0.594</v>
      </c>
      <c r="K86" s="52">
        <v>0.0</v>
      </c>
      <c r="L86" s="52">
        <v>0.0</v>
      </c>
      <c r="M86" s="52">
        <v>100.0</v>
      </c>
      <c r="N86" s="52">
        <v>100.0</v>
      </c>
      <c r="O86" s="52">
        <v>18.686868686868692</v>
      </c>
      <c r="P86" s="52">
        <v>80.03220287266478</v>
      </c>
      <c r="Q86" s="52">
        <v>18.74340771206493</v>
      </c>
      <c r="R86" s="52">
        <v>3.4339321178039013</v>
      </c>
      <c r="S86" s="52">
        <v>0.857527286074901</v>
      </c>
      <c r="T86" s="52">
        <v>0.4208754208754207</v>
      </c>
      <c r="U86" s="52">
        <v>2.0374848317139658</v>
      </c>
      <c r="V86" s="51" t="s">
        <v>186</v>
      </c>
      <c r="W86" s="51">
        <v>1.0</v>
      </c>
      <c r="X86" s="51" t="s">
        <v>574</v>
      </c>
      <c r="Y86" s="51" t="s">
        <v>260</v>
      </c>
      <c r="Z86" s="51" t="s">
        <v>568</v>
      </c>
      <c r="AA86" s="51"/>
    </row>
    <row r="87" ht="15.0" customHeight="1">
      <c r="A87" s="51">
        <v>97.0</v>
      </c>
      <c r="B87" s="51" t="s">
        <v>575</v>
      </c>
      <c r="C87" s="51" t="s">
        <v>370</v>
      </c>
      <c r="D87" s="51" t="s">
        <v>61</v>
      </c>
      <c r="E87" s="51" t="s">
        <v>260</v>
      </c>
      <c r="F87" s="51" t="s">
        <v>192</v>
      </c>
      <c r="G87" s="51" t="s">
        <v>308</v>
      </c>
      <c r="H87" s="52">
        <v>20.0</v>
      </c>
      <c r="I87" s="52">
        <v>0.2</v>
      </c>
      <c r="J87" s="52">
        <v>0.594</v>
      </c>
      <c r="K87" s="52">
        <v>0.0</v>
      </c>
      <c r="L87" s="52">
        <v>0.0</v>
      </c>
      <c r="M87" s="52">
        <v>100.0</v>
      </c>
      <c r="N87" s="52">
        <v>100.0</v>
      </c>
      <c r="O87" s="52">
        <v>18.686868686868685</v>
      </c>
      <c r="P87" s="52">
        <v>81.29055343212376</v>
      </c>
      <c r="Q87" s="52">
        <v>15.570342012297756</v>
      </c>
      <c r="R87" s="52">
        <v>5.1762956826242865</v>
      </c>
      <c r="S87" s="52">
        <v>1.0891311383975173</v>
      </c>
      <c r="T87" s="52">
        <v>0.5323798119931479</v>
      </c>
      <c r="U87" s="52">
        <v>2.045778434610393</v>
      </c>
      <c r="V87" s="51" t="s">
        <v>186</v>
      </c>
      <c r="W87" s="51">
        <v>1.0</v>
      </c>
      <c r="X87" s="51" t="s">
        <v>576</v>
      </c>
      <c r="Y87" s="51" t="s">
        <v>260</v>
      </c>
      <c r="Z87" s="51" t="s">
        <v>568</v>
      </c>
      <c r="AA87" s="51"/>
    </row>
    <row r="88" ht="15.0" customHeight="1">
      <c r="A88" s="51">
        <v>98.0</v>
      </c>
      <c r="B88" s="51" t="s">
        <v>577</v>
      </c>
      <c r="C88" s="51" t="s">
        <v>370</v>
      </c>
      <c r="D88" s="51" t="s">
        <v>61</v>
      </c>
      <c r="E88" s="51" t="s">
        <v>260</v>
      </c>
      <c r="F88" s="51" t="s">
        <v>192</v>
      </c>
      <c r="G88" s="51" t="s">
        <v>308</v>
      </c>
      <c r="H88" s="52">
        <v>20.0</v>
      </c>
      <c r="I88" s="52">
        <v>0.2</v>
      </c>
      <c r="J88" s="52">
        <v>0.594</v>
      </c>
      <c r="K88" s="52">
        <v>0.0</v>
      </c>
      <c r="L88" s="52">
        <v>0.0</v>
      </c>
      <c r="M88" s="52">
        <v>100.0</v>
      </c>
      <c r="N88" s="52">
        <v>100.0</v>
      </c>
      <c r="O88" s="52">
        <v>18.686868686868692</v>
      </c>
      <c r="P88" s="52">
        <v>82.55970014057368</v>
      </c>
      <c r="Q88" s="52">
        <v>14.271464883750525</v>
      </c>
      <c r="R88" s="52">
        <v>3.4737314705011686</v>
      </c>
      <c r="S88" s="52">
        <v>0.6621859644219072</v>
      </c>
      <c r="T88" s="52">
        <v>0.3233746113447897</v>
      </c>
      <c r="U88" s="52">
        <v>2.047736405984788</v>
      </c>
      <c r="V88" s="51" t="s">
        <v>186</v>
      </c>
      <c r="W88" s="51">
        <v>2.0</v>
      </c>
      <c r="X88" s="51" t="s">
        <v>567</v>
      </c>
      <c r="Y88" s="51" t="s">
        <v>260</v>
      </c>
      <c r="Z88" s="51" t="s">
        <v>568</v>
      </c>
      <c r="AA88" s="51"/>
    </row>
    <row r="89" ht="15.0" customHeight="1">
      <c r="A89" s="51">
        <v>99.0</v>
      </c>
      <c r="B89" s="51" t="s">
        <v>273</v>
      </c>
      <c r="C89" s="51" t="s">
        <v>258</v>
      </c>
      <c r="D89" s="51" t="s">
        <v>259</v>
      </c>
      <c r="E89" s="51" t="s">
        <v>260</v>
      </c>
      <c r="F89" s="51" t="s">
        <v>192</v>
      </c>
      <c r="G89" s="51" t="s">
        <v>308</v>
      </c>
      <c r="H89" s="52">
        <v>20.0</v>
      </c>
      <c r="I89" s="52">
        <v>0.2</v>
      </c>
      <c r="J89" s="52">
        <v>0.594</v>
      </c>
      <c r="K89" s="52">
        <v>50.0</v>
      </c>
      <c r="L89" s="52">
        <v>50.0</v>
      </c>
      <c r="M89" s="52">
        <v>50.0</v>
      </c>
      <c r="N89" s="52">
        <v>100.0</v>
      </c>
      <c r="O89" s="52">
        <v>18.676868686868676</v>
      </c>
      <c r="P89" s="52">
        <v>71.74781556919221</v>
      </c>
      <c r="Q89" s="52">
        <v>34.72712713510935</v>
      </c>
      <c r="R89" s="52">
        <v>3.085738822544235</v>
      </c>
      <c r="S89" s="52">
        <v>0.6228956228956269</v>
      </c>
      <c r="T89" s="52">
        <v>0.2785176423398658</v>
      </c>
      <c r="U89" s="52">
        <v>2.236467383762814</v>
      </c>
      <c r="V89" s="51" t="s">
        <v>186</v>
      </c>
      <c r="W89" s="51">
        <v>1.0</v>
      </c>
      <c r="X89" s="51" t="s">
        <v>311</v>
      </c>
      <c r="Y89" s="51" t="s">
        <v>260</v>
      </c>
      <c r="Z89" s="51" t="s">
        <v>265</v>
      </c>
      <c r="AA89" s="51"/>
    </row>
    <row r="90" ht="15.0" customHeight="1">
      <c r="A90" s="51">
        <v>99.0</v>
      </c>
      <c r="B90" s="51" t="s">
        <v>273</v>
      </c>
      <c r="C90" s="51" t="s">
        <v>258</v>
      </c>
      <c r="D90" s="51" t="s">
        <v>266</v>
      </c>
      <c r="E90" s="51" t="s">
        <v>260</v>
      </c>
      <c r="F90" s="51" t="s">
        <v>192</v>
      </c>
      <c r="G90" s="51" t="s">
        <v>308</v>
      </c>
      <c r="H90" s="52">
        <v>20.0</v>
      </c>
      <c r="I90" s="52">
        <v>0.2</v>
      </c>
      <c r="J90" s="52">
        <v>0.594</v>
      </c>
      <c r="K90" s="52"/>
      <c r="L90" s="52">
        <v>47.5</v>
      </c>
      <c r="M90" s="52">
        <v>52.5</v>
      </c>
      <c r="N90" s="52">
        <v>100.0</v>
      </c>
      <c r="O90" s="52">
        <v>18.67686868686865</v>
      </c>
      <c r="P90" s="52">
        <v>72.30987088475801</v>
      </c>
      <c r="Q90" s="52">
        <v>33.70130823433966</v>
      </c>
      <c r="R90" s="52">
        <v>3.113892814387732</v>
      </c>
      <c r="S90" s="52">
        <v>0.6228956228956332</v>
      </c>
      <c r="T90" s="52">
        <v>0.2796168900543207</v>
      </c>
      <c r="U90" s="52">
        <v>2.2276752408433707</v>
      </c>
      <c r="V90" s="51" t="s">
        <v>186</v>
      </c>
      <c r="W90" s="51">
        <v>1.0</v>
      </c>
      <c r="X90" s="51" t="s">
        <v>552</v>
      </c>
      <c r="Y90" s="51" t="s">
        <v>260</v>
      </c>
      <c r="Z90" s="51" t="s">
        <v>270</v>
      </c>
      <c r="AA90" s="51"/>
    </row>
    <row r="91" ht="15.0" customHeight="1">
      <c r="A91" s="51">
        <v>100.0</v>
      </c>
      <c r="B91" s="51" t="s">
        <v>294</v>
      </c>
      <c r="C91" s="51" t="s">
        <v>258</v>
      </c>
      <c r="D91" s="51" t="s">
        <v>259</v>
      </c>
      <c r="E91" s="51" t="s">
        <v>260</v>
      </c>
      <c r="F91" s="51" t="s">
        <v>192</v>
      </c>
      <c r="G91" s="51" t="s">
        <v>308</v>
      </c>
      <c r="H91" s="52">
        <v>20.0</v>
      </c>
      <c r="I91" s="52">
        <v>0.2</v>
      </c>
      <c r="J91" s="52">
        <v>0.594</v>
      </c>
      <c r="K91" s="52">
        <v>50.0</v>
      </c>
      <c r="L91" s="52">
        <v>50.0</v>
      </c>
      <c r="M91" s="52">
        <v>50.0</v>
      </c>
      <c r="N91" s="52">
        <v>100.0</v>
      </c>
      <c r="O91" s="52">
        <v>18.679999999999993</v>
      </c>
      <c r="P91" s="52">
        <v>71.73915529992185</v>
      </c>
      <c r="Q91" s="52">
        <v>34.725866381986826</v>
      </c>
      <c r="R91" s="52">
        <v>3.08509942439461</v>
      </c>
      <c r="S91" s="52">
        <v>0.6228956228956167</v>
      </c>
      <c r="T91" s="52">
        <v>0.2787426669705157</v>
      </c>
      <c r="U91" s="52">
        <v>2.234661918340274</v>
      </c>
      <c r="V91" s="51" t="s">
        <v>186</v>
      </c>
      <c r="W91" s="51">
        <v>1.0</v>
      </c>
      <c r="X91" s="51" t="s">
        <v>311</v>
      </c>
      <c r="Y91" s="51" t="s">
        <v>260</v>
      </c>
      <c r="Z91" s="51" t="s">
        <v>265</v>
      </c>
      <c r="AA91" s="51"/>
    </row>
    <row r="92" ht="15.0" customHeight="1">
      <c r="A92" s="51">
        <v>100.0</v>
      </c>
      <c r="B92" s="51" t="s">
        <v>294</v>
      </c>
      <c r="C92" s="51" t="s">
        <v>258</v>
      </c>
      <c r="D92" s="51" t="s">
        <v>266</v>
      </c>
      <c r="E92" s="51" t="s">
        <v>260</v>
      </c>
      <c r="F92" s="51" t="s">
        <v>192</v>
      </c>
      <c r="G92" s="51" t="s">
        <v>308</v>
      </c>
      <c r="H92" s="52">
        <v>20.0</v>
      </c>
      <c r="I92" s="52">
        <v>0.2</v>
      </c>
      <c r="J92" s="52">
        <v>0.594</v>
      </c>
      <c r="K92" s="52"/>
      <c r="L92" s="52">
        <v>47.5</v>
      </c>
      <c r="M92" s="52">
        <v>52.5</v>
      </c>
      <c r="N92" s="52">
        <v>100.0</v>
      </c>
      <c r="O92" s="52">
        <v>18.68000000000001</v>
      </c>
      <c r="P92" s="52">
        <v>72.30106316579237</v>
      </c>
      <c r="Q92" s="52">
        <v>33.7000235415144</v>
      </c>
      <c r="R92" s="52">
        <v>3.113245409547626</v>
      </c>
      <c r="S92" s="52">
        <v>0.6228956228956397</v>
      </c>
      <c r="T92" s="52">
        <v>0.27984546278646694</v>
      </c>
      <c r="U92" s="52">
        <v>2.225855715841759</v>
      </c>
      <c r="V92" s="51" t="s">
        <v>186</v>
      </c>
      <c r="W92" s="51">
        <v>1.0</v>
      </c>
      <c r="X92" s="51" t="s">
        <v>559</v>
      </c>
      <c r="Y92" s="51" t="s">
        <v>260</v>
      </c>
      <c r="Z92" s="51" t="s">
        <v>270</v>
      </c>
      <c r="AA92" s="51"/>
    </row>
    <row r="93" ht="15.0" customHeight="1">
      <c r="A93" s="51">
        <v>101.0</v>
      </c>
      <c r="B93" s="51" t="s">
        <v>369</v>
      </c>
      <c r="C93" s="51" t="s">
        <v>370</v>
      </c>
      <c r="D93" s="51" t="s">
        <v>61</v>
      </c>
      <c r="E93" s="51" t="s">
        <v>260</v>
      </c>
      <c r="F93" s="51" t="s">
        <v>192</v>
      </c>
      <c r="G93" s="51" t="s">
        <v>308</v>
      </c>
      <c r="H93" s="52">
        <v>20.0</v>
      </c>
      <c r="I93" s="52">
        <v>0.2</v>
      </c>
      <c r="J93" s="52">
        <v>0.594</v>
      </c>
      <c r="K93" s="52">
        <v>0.0</v>
      </c>
      <c r="L93" s="52">
        <v>0.0</v>
      </c>
      <c r="M93" s="52">
        <v>100.0</v>
      </c>
      <c r="N93" s="52">
        <v>100.0</v>
      </c>
      <c r="O93" s="52">
        <v>18.688779999999998</v>
      </c>
      <c r="P93" s="52">
        <v>81.88474599999999</v>
      </c>
      <c r="Q93" s="52">
        <v>17.042178000000003</v>
      </c>
      <c r="R93" s="52">
        <v>3.494464</v>
      </c>
      <c r="S93" s="52">
        <v>0.8070240000000001</v>
      </c>
      <c r="T93" s="52">
        <v>0.38220800000000005</v>
      </c>
      <c r="U93" s="52">
        <v>2.1114785666443403</v>
      </c>
      <c r="V93" s="51" t="s">
        <v>186</v>
      </c>
      <c r="W93" s="51">
        <v>2.0</v>
      </c>
      <c r="X93" s="51" t="s">
        <v>371</v>
      </c>
      <c r="Y93" s="51" t="s">
        <v>260</v>
      </c>
      <c r="Z93" s="51" t="s">
        <v>373</v>
      </c>
      <c r="AA93" s="51"/>
    </row>
    <row r="94" ht="15.0" customHeight="1">
      <c r="A94" s="51">
        <v>102.0</v>
      </c>
      <c r="B94" s="51" t="s">
        <v>414</v>
      </c>
      <c r="C94" s="51" t="s">
        <v>370</v>
      </c>
      <c r="D94" s="51" t="s">
        <v>61</v>
      </c>
      <c r="E94" s="51" t="s">
        <v>260</v>
      </c>
      <c r="F94" s="51" t="s">
        <v>192</v>
      </c>
      <c r="G94" s="51" t="s">
        <v>308</v>
      </c>
      <c r="H94" s="52">
        <v>30.0</v>
      </c>
      <c r="I94" s="52">
        <v>0.25</v>
      </c>
      <c r="J94" s="52">
        <v>1.074</v>
      </c>
      <c r="K94" s="52">
        <v>0.0</v>
      </c>
      <c r="L94" s="52">
        <v>0.0</v>
      </c>
      <c r="M94" s="52">
        <v>100.0</v>
      </c>
      <c r="N94" s="52">
        <v>100.0</v>
      </c>
      <c r="O94" s="52">
        <v>14.019730999999998</v>
      </c>
      <c r="P94" s="52">
        <v>79.75752600000001</v>
      </c>
      <c r="Q94" s="52">
        <v>19.796913000000004</v>
      </c>
      <c r="R94" s="52">
        <v>4.331588999999999</v>
      </c>
      <c r="S94" s="52">
        <v>0.687358</v>
      </c>
      <c r="T94" s="52">
        <v>0.31163</v>
      </c>
      <c r="U94" s="52">
        <v>2.2056862304656164</v>
      </c>
      <c r="V94" s="51" t="s">
        <v>186</v>
      </c>
      <c r="W94" s="51">
        <v>1.0</v>
      </c>
      <c r="X94" s="51" t="s">
        <v>415</v>
      </c>
      <c r="Y94" s="51" t="s">
        <v>260</v>
      </c>
      <c r="Z94" s="51" t="s">
        <v>416</v>
      </c>
      <c r="AA94" s="51"/>
    </row>
    <row r="95" ht="15.0" customHeight="1">
      <c r="A95" s="53">
        <v>103.0</v>
      </c>
      <c r="B95" s="53" t="s">
        <v>578</v>
      </c>
      <c r="C95" s="53" t="s">
        <v>370</v>
      </c>
      <c r="D95" s="53" t="s">
        <v>61</v>
      </c>
      <c r="E95" s="53" t="s">
        <v>260</v>
      </c>
      <c r="F95" s="53" t="s">
        <v>192</v>
      </c>
      <c r="G95" s="53" t="s">
        <v>308</v>
      </c>
      <c r="H95" s="54">
        <v>60.0</v>
      </c>
      <c r="I95" s="54">
        <v>-0.029</v>
      </c>
      <c r="J95" s="54">
        <v>1.8059999999999998</v>
      </c>
      <c r="K95" s="54">
        <v>0.0</v>
      </c>
      <c r="L95" s="54">
        <v>0.0</v>
      </c>
      <c r="M95" s="54">
        <v>100.0</v>
      </c>
      <c r="N95" s="54">
        <v>100.0</v>
      </c>
      <c r="O95" s="54">
        <v>14.839424141749724</v>
      </c>
      <c r="P95" s="54">
        <v>80.70632484548818</v>
      </c>
      <c r="Q95" s="54">
        <v>16.696642672691635</v>
      </c>
      <c r="R95" s="54">
        <v>7.000000000000399</v>
      </c>
      <c r="S95" s="54">
        <v>1.4341755955339435</v>
      </c>
      <c r="T95" s="54">
        <v>0.6951441032641855</v>
      </c>
      <c r="U95" s="54">
        <v>2.0631342318801105</v>
      </c>
      <c r="V95" s="53" t="s">
        <v>186</v>
      </c>
      <c r="W95" s="53">
        <v>1.0</v>
      </c>
      <c r="X95" s="53" t="s">
        <v>561</v>
      </c>
      <c r="Y95" s="53" t="s">
        <v>260</v>
      </c>
      <c r="Z95" s="53" t="s">
        <v>265</v>
      </c>
      <c r="AA95" s="53"/>
    </row>
    <row r="96" ht="15.0" customHeight="1"/>
    <row r="97" ht="15.0" customHeight="1"/>
    <row r="98" ht="15.0" customHeight="1"/>
    <row r="99" ht="15.0" customHeight="1"/>
    <row r="100" ht="15.0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conditionalFormatting sqref="E2:E100">
    <cfRule type="containsText" dxfId="5" priority="1" operator="containsText" text="NÃO">
      <formula>NOT(ISERROR(SEARCH(("NÃO"),(E2))))</formula>
    </cfRule>
  </conditionalFormatting>
  <conditionalFormatting sqref="V2:V100">
    <cfRule type="containsText" dxfId="6" priority="2" operator="containsText" text="PREFERENCIAL">
      <formula>NOT(ISERROR(SEARCH(("PREFERENCIAL"),(V2))))</formula>
    </cfRule>
  </conditionalFormatting>
  <conditionalFormatting sqref="V2:V100">
    <cfRule type="containsText" dxfId="5" priority="3" operator="containsText" text="FORA">
      <formula>NOT(ISERROR(SEARCH(("FORA"),(V2))))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28.0"/>
    <col customWidth="1" min="3" max="3" width="13.0"/>
    <col customWidth="1" min="4" max="4" width="18.0"/>
    <col customWidth="1" min="5" max="5" width="28.0"/>
    <col customWidth="1" min="6" max="6" width="15.0"/>
    <col customWidth="1" min="7" max="7" width="20.0"/>
    <col customWidth="1" min="8" max="8" width="15.0"/>
    <col customWidth="1" min="9" max="12" width="17.0"/>
    <col customWidth="1" min="13" max="18" width="12.0"/>
    <col customWidth="1" min="19" max="24" width="13.0"/>
    <col customWidth="1" min="25" max="26" width="8.63"/>
  </cols>
  <sheetData>
    <row r="1" ht="15.0" customHeight="1">
      <c r="A1" s="49" t="s">
        <v>238</v>
      </c>
      <c r="B1" s="49" t="s">
        <v>73</v>
      </c>
      <c r="C1" s="49" t="s">
        <v>275</v>
      </c>
      <c r="D1" s="49" t="s">
        <v>9</v>
      </c>
      <c r="E1" s="49" t="s">
        <v>10</v>
      </c>
      <c r="F1" s="49" t="s">
        <v>276</v>
      </c>
      <c r="G1" s="49" t="s">
        <v>277</v>
      </c>
      <c r="H1" s="49" t="s">
        <v>278</v>
      </c>
      <c r="I1" s="49" t="s">
        <v>279</v>
      </c>
      <c r="J1" s="49" t="s">
        <v>280</v>
      </c>
      <c r="K1" s="49" t="s">
        <v>13</v>
      </c>
      <c r="L1" s="49" t="s">
        <v>14</v>
      </c>
      <c r="M1" s="49" t="s">
        <v>283</v>
      </c>
      <c r="N1" s="49" t="s">
        <v>285</v>
      </c>
      <c r="O1" s="49" t="s">
        <v>287</v>
      </c>
      <c r="P1" s="49" t="s">
        <v>288</v>
      </c>
      <c r="Q1" s="49" t="s">
        <v>289</v>
      </c>
      <c r="R1" s="49" t="s">
        <v>290</v>
      </c>
      <c r="S1" s="49" t="s">
        <v>291</v>
      </c>
      <c r="T1" s="49" t="s">
        <v>292</v>
      </c>
      <c r="U1" s="49" t="s">
        <v>293</v>
      </c>
      <c r="V1" s="49" t="s">
        <v>295</v>
      </c>
      <c r="W1" s="49" t="s">
        <v>296</v>
      </c>
      <c r="X1" s="49" t="s">
        <v>297</v>
      </c>
    </row>
    <row r="2" ht="15.0" customHeight="1">
      <c r="A2" s="55">
        <v>7.0</v>
      </c>
      <c r="B2" s="55" t="s">
        <v>266</v>
      </c>
      <c r="C2" s="55">
        <v>185.0</v>
      </c>
      <c r="D2" s="55" t="s">
        <v>16</v>
      </c>
      <c r="E2" s="55" t="s">
        <v>298</v>
      </c>
      <c r="F2" s="55" t="s">
        <v>299</v>
      </c>
      <c r="G2" s="55" t="s">
        <v>300</v>
      </c>
      <c r="H2" s="56">
        <v>9.999999999999998</v>
      </c>
      <c r="I2" s="56">
        <v>0.0</v>
      </c>
      <c r="J2" s="56">
        <v>71.82</v>
      </c>
      <c r="K2" s="56">
        <f t="shared" ref="K2:K7" si="1">IF(J2&gt;0,(I2/J2)/SUMPRODUCT($I$2:$I$7/$J$2:$J$7)*100,"")</f>
        <v>0</v>
      </c>
      <c r="L2" s="56">
        <f t="shared" ref="L2:L541" si="2">IF(K2&lt;&gt;"",K2*3,"")</f>
        <v>0</v>
      </c>
      <c r="M2" s="56">
        <v>9.84</v>
      </c>
      <c r="N2" s="56">
        <v>84.09</v>
      </c>
      <c r="O2" s="56">
        <v>11.73</v>
      </c>
      <c r="P2" s="56">
        <v>5.31</v>
      </c>
      <c r="Q2" s="56">
        <v>0.03</v>
      </c>
      <c r="R2" s="56">
        <v>0.25</v>
      </c>
      <c r="S2" s="56">
        <f t="shared" ref="S2:S541" si="3">I2/100*M2</f>
        <v>0</v>
      </c>
      <c r="T2" s="56">
        <f t="shared" ref="T2:T541" si="4">I2/100*N2</f>
        <v>0</v>
      </c>
      <c r="U2" s="56">
        <f t="shared" ref="U2:U541" si="5">I2/100*O2</f>
        <v>0</v>
      </c>
      <c r="V2" s="56">
        <f t="shared" ref="V2:V541" si="6">I2/100*P2</f>
        <v>0</v>
      </c>
      <c r="W2" s="56">
        <f t="shared" ref="W2:W541" si="7">I2/100*Q2</f>
        <v>0</v>
      </c>
      <c r="X2" s="56">
        <f t="shared" ref="X2:X541" si="8">I2/100*R2</f>
        <v>0</v>
      </c>
    </row>
    <row r="3" ht="15.0" customHeight="1">
      <c r="A3" s="51">
        <v>7.0</v>
      </c>
      <c r="B3" s="51" t="s">
        <v>266</v>
      </c>
      <c r="C3" s="51">
        <v>172.0</v>
      </c>
      <c r="D3" s="51" t="s">
        <v>16</v>
      </c>
      <c r="E3" s="51" t="s">
        <v>34</v>
      </c>
      <c r="F3" s="51" t="s">
        <v>299</v>
      </c>
      <c r="G3" s="51" t="s">
        <v>300</v>
      </c>
      <c r="H3" s="52">
        <v>0.0</v>
      </c>
      <c r="I3" s="52">
        <v>7.366535647089828</v>
      </c>
      <c r="J3" s="52">
        <v>88.98</v>
      </c>
      <c r="K3" s="52">
        <f t="shared" si="1"/>
        <v>7.297615943</v>
      </c>
      <c r="L3" s="52">
        <f t="shared" si="2"/>
        <v>21.89284783</v>
      </c>
      <c r="M3" s="52">
        <v>13.73</v>
      </c>
      <c r="N3" s="52">
        <v>83.51</v>
      </c>
      <c r="O3" s="52">
        <v>24.43</v>
      </c>
      <c r="P3" s="52">
        <v>15.84</v>
      </c>
      <c r="Q3" s="52">
        <v>0.11</v>
      </c>
      <c r="R3" s="52">
        <v>1.72</v>
      </c>
      <c r="S3" s="52">
        <f t="shared" si="3"/>
        <v>1.011425344</v>
      </c>
      <c r="T3" s="52">
        <f t="shared" si="4"/>
        <v>6.151793919</v>
      </c>
      <c r="U3" s="52">
        <f t="shared" si="5"/>
        <v>1.799644659</v>
      </c>
      <c r="V3" s="52">
        <f t="shared" si="6"/>
        <v>1.166859246</v>
      </c>
      <c r="W3" s="52">
        <f t="shared" si="7"/>
        <v>0.008103189212</v>
      </c>
      <c r="X3" s="52">
        <f t="shared" si="8"/>
        <v>0.1267044131</v>
      </c>
    </row>
    <row r="4" ht="15.0" customHeight="1">
      <c r="A4" s="51">
        <v>7.0</v>
      </c>
      <c r="B4" s="51" t="s">
        <v>266</v>
      </c>
      <c r="C4" s="51">
        <v>213.0</v>
      </c>
      <c r="D4" s="51" t="s">
        <v>24</v>
      </c>
      <c r="E4" s="51" t="s">
        <v>26</v>
      </c>
      <c r="F4" s="51" t="s">
        <v>299</v>
      </c>
      <c r="G4" s="51" t="s">
        <v>300</v>
      </c>
      <c r="H4" s="52">
        <v>0.0</v>
      </c>
      <c r="I4" s="52">
        <v>0.04354962078166244</v>
      </c>
      <c r="J4" s="52">
        <v>99.89</v>
      </c>
      <c r="K4" s="52">
        <f t="shared" si="1"/>
        <v>0.03843018498</v>
      </c>
      <c r="L4" s="52">
        <f t="shared" si="2"/>
        <v>0.1152905549</v>
      </c>
      <c r="M4" s="52">
        <v>0.0</v>
      </c>
      <c r="N4" s="52">
        <v>0.0</v>
      </c>
      <c r="O4" s="52">
        <v>0.0</v>
      </c>
      <c r="P4" s="52">
        <v>0.0</v>
      </c>
      <c r="Q4" s="52">
        <v>37.35</v>
      </c>
      <c r="R4" s="52">
        <v>0.01</v>
      </c>
      <c r="S4" s="52">
        <f t="shared" si="3"/>
        <v>0</v>
      </c>
      <c r="T4" s="52">
        <f t="shared" si="4"/>
        <v>0</v>
      </c>
      <c r="U4" s="52">
        <f t="shared" si="5"/>
        <v>0</v>
      </c>
      <c r="V4" s="52">
        <f t="shared" si="6"/>
        <v>0</v>
      </c>
      <c r="W4" s="52">
        <f t="shared" si="7"/>
        <v>0.01626578336</v>
      </c>
      <c r="X4" s="52">
        <f t="shared" si="8"/>
        <v>0.000004354962078</v>
      </c>
    </row>
    <row r="5" ht="15.0" customHeight="1">
      <c r="A5" s="51">
        <v>7.0</v>
      </c>
      <c r="B5" s="51" t="s">
        <v>266</v>
      </c>
      <c r="C5" s="51">
        <v>121.0</v>
      </c>
      <c r="D5" s="51" t="s">
        <v>209</v>
      </c>
      <c r="E5" s="51" t="s">
        <v>312</v>
      </c>
      <c r="F5" s="51" t="s">
        <v>314</v>
      </c>
      <c r="G5" s="51" t="s">
        <v>316</v>
      </c>
      <c r="H5" s="52">
        <v>50.0</v>
      </c>
      <c r="I5" s="52">
        <v>50.0</v>
      </c>
      <c r="J5" s="52">
        <v>86.81</v>
      </c>
      <c r="K5" s="52">
        <f t="shared" si="1"/>
        <v>50.77037351</v>
      </c>
      <c r="L5" s="52">
        <f t="shared" si="2"/>
        <v>152.3111205</v>
      </c>
      <c r="M5" s="52">
        <v>7.65</v>
      </c>
      <c r="N5" s="52">
        <v>34.54</v>
      </c>
      <c r="O5" s="52">
        <v>70.04</v>
      </c>
      <c r="P5" s="52">
        <v>1.59</v>
      </c>
      <c r="Q5" s="52">
        <v>0.6</v>
      </c>
      <c r="R5" s="52">
        <v>0.04</v>
      </c>
      <c r="S5" s="52">
        <f t="shared" si="3"/>
        <v>3.825</v>
      </c>
      <c r="T5" s="52">
        <f t="shared" si="4"/>
        <v>17.27</v>
      </c>
      <c r="U5" s="52">
        <f t="shared" si="5"/>
        <v>35.02</v>
      </c>
      <c r="V5" s="52">
        <f t="shared" si="6"/>
        <v>0.795</v>
      </c>
      <c r="W5" s="52">
        <f t="shared" si="7"/>
        <v>0.3</v>
      </c>
      <c r="X5" s="52">
        <f t="shared" si="8"/>
        <v>0.02</v>
      </c>
    </row>
    <row r="6" ht="15.0" customHeight="1">
      <c r="A6" s="51">
        <v>7.0</v>
      </c>
      <c r="B6" s="51" t="s">
        <v>266</v>
      </c>
      <c r="C6" s="51">
        <v>117.0</v>
      </c>
      <c r="D6" s="51" t="s">
        <v>209</v>
      </c>
      <c r="E6" s="51" t="s">
        <v>319</v>
      </c>
      <c r="F6" s="51" t="s">
        <v>314</v>
      </c>
      <c r="G6" s="51" t="s">
        <v>316</v>
      </c>
      <c r="H6" s="52">
        <v>40.0</v>
      </c>
      <c r="I6" s="52">
        <v>40.0</v>
      </c>
      <c r="J6" s="52">
        <v>89.65</v>
      </c>
      <c r="K6" s="52">
        <f t="shared" si="1"/>
        <v>39.3296252</v>
      </c>
      <c r="L6" s="52">
        <f t="shared" si="2"/>
        <v>117.9888756</v>
      </c>
      <c r="M6" s="52">
        <v>4.09</v>
      </c>
      <c r="N6" s="52">
        <v>40.3</v>
      </c>
      <c r="O6" s="52">
        <v>78.46</v>
      </c>
      <c r="P6" s="52">
        <v>0.92</v>
      </c>
      <c r="Q6" s="52">
        <v>0.39</v>
      </c>
      <c r="R6" s="52">
        <v>0.1</v>
      </c>
      <c r="S6" s="52">
        <f t="shared" si="3"/>
        <v>1.636</v>
      </c>
      <c r="T6" s="52">
        <f t="shared" si="4"/>
        <v>16.12</v>
      </c>
      <c r="U6" s="52">
        <f t="shared" si="5"/>
        <v>31.384</v>
      </c>
      <c r="V6" s="52">
        <f t="shared" si="6"/>
        <v>0.368</v>
      </c>
      <c r="W6" s="52">
        <f t="shared" si="7"/>
        <v>0.156</v>
      </c>
      <c r="X6" s="52">
        <f t="shared" si="8"/>
        <v>0.04</v>
      </c>
    </row>
    <row r="7" ht="15.0" customHeight="1">
      <c r="A7" s="51">
        <v>7.0</v>
      </c>
      <c r="B7" s="51" t="s">
        <v>266</v>
      </c>
      <c r="C7" s="51">
        <v>183.0</v>
      </c>
      <c r="D7" s="51" t="s">
        <v>16</v>
      </c>
      <c r="E7" s="51" t="s">
        <v>325</v>
      </c>
      <c r="F7" s="51" t="s">
        <v>299</v>
      </c>
      <c r="G7" s="51" t="s">
        <v>300</v>
      </c>
      <c r="H7" s="52">
        <v>0.0</v>
      </c>
      <c r="I7" s="52">
        <v>2.5899147321285074</v>
      </c>
      <c r="J7" s="52">
        <v>89.04</v>
      </c>
      <c r="K7" s="52">
        <f t="shared" si="1"/>
        <v>2.563955156</v>
      </c>
      <c r="L7" s="52">
        <f t="shared" si="2"/>
        <v>7.691865468</v>
      </c>
      <c r="M7" s="52">
        <v>15.43</v>
      </c>
      <c r="N7" s="52">
        <v>77.42</v>
      </c>
      <c r="O7" s="52">
        <v>21.48</v>
      </c>
      <c r="P7" s="52">
        <v>4.75</v>
      </c>
      <c r="Q7" s="52">
        <v>0.05</v>
      </c>
      <c r="R7" s="52">
        <v>0.23</v>
      </c>
      <c r="S7" s="52">
        <f t="shared" si="3"/>
        <v>0.3996238432</v>
      </c>
      <c r="T7" s="52">
        <f t="shared" si="4"/>
        <v>2.005111986</v>
      </c>
      <c r="U7" s="52">
        <f t="shared" si="5"/>
        <v>0.5563136845</v>
      </c>
      <c r="V7" s="52">
        <f t="shared" si="6"/>
        <v>0.1230209498</v>
      </c>
      <c r="W7" s="52">
        <f t="shared" si="7"/>
        <v>0.001294957366</v>
      </c>
      <c r="X7" s="52">
        <f t="shared" si="8"/>
        <v>0.005956803884</v>
      </c>
    </row>
    <row r="8" ht="24.0" customHeight="1">
      <c r="A8" s="51">
        <v>8.0</v>
      </c>
      <c r="B8" s="51" t="s">
        <v>61</v>
      </c>
      <c r="C8" s="51">
        <v>182.0</v>
      </c>
      <c r="D8" s="51" t="s">
        <v>16</v>
      </c>
      <c r="E8" s="51" t="s">
        <v>335</v>
      </c>
      <c r="F8" s="51" t="s">
        <v>299</v>
      </c>
      <c r="G8" s="51" t="s">
        <v>300</v>
      </c>
      <c r="H8" s="52">
        <v>91.44292122677652</v>
      </c>
      <c r="I8" s="52">
        <v>15.277334430886055</v>
      </c>
      <c r="J8" s="52">
        <v>87.9</v>
      </c>
      <c r="K8" s="52">
        <f t="shared" ref="K8:K11" si="9">IF(J8&gt;0,(I8/J8)/SUMPRODUCT($I$8:$I$11/$J$8:$J$11)*100,"")</f>
        <v>15.28568746</v>
      </c>
      <c r="L8" s="52">
        <f t="shared" si="2"/>
        <v>45.85706239</v>
      </c>
      <c r="M8" s="52">
        <v>8.07</v>
      </c>
      <c r="N8" s="52">
        <v>63.71</v>
      </c>
      <c r="O8" s="52">
        <v>38.2</v>
      </c>
      <c r="P8" s="52">
        <v>2.99</v>
      </c>
      <c r="Q8" s="52">
        <v>0.05</v>
      </c>
      <c r="R8" s="52">
        <v>0.22</v>
      </c>
      <c r="S8" s="52">
        <f t="shared" si="3"/>
        <v>1.232880889</v>
      </c>
      <c r="T8" s="52">
        <f t="shared" si="4"/>
        <v>9.733189766</v>
      </c>
      <c r="U8" s="52">
        <f t="shared" si="5"/>
        <v>5.835941753</v>
      </c>
      <c r="V8" s="52">
        <f t="shared" si="6"/>
        <v>0.4567922995</v>
      </c>
      <c r="W8" s="52">
        <f t="shared" si="7"/>
        <v>0.007638667215</v>
      </c>
      <c r="X8" s="52">
        <f t="shared" si="8"/>
        <v>0.03361013575</v>
      </c>
    </row>
    <row r="9" ht="15.0" customHeight="1">
      <c r="A9" s="51">
        <v>8.0</v>
      </c>
      <c r="B9" s="51" t="s">
        <v>61</v>
      </c>
      <c r="C9" s="51">
        <v>188.0</v>
      </c>
      <c r="D9" s="51" t="s">
        <v>16</v>
      </c>
      <c r="E9" s="51" t="s">
        <v>19</v>
      </c>
      <c r="F9" s="51" t="s">
        <v>299</v>
      </c>
      <c r="G9" s="51" t="s">
        <v>300</v>
      </c>
      <c r="H9" s="52">
        <v>4.107486158422828</v>
      </c>
      <c r="I9" s="52">
        <v>81.34049172494807</v>
      </c>
      <c r="J9" s="52">
        <v>87.78</v>
      </c>
      <c r="K9" s="52">
        <f t="shared" si="9"/>
        <v>81.49622308</v>
      </c>
      <c r="L9" s="52">
        <f t="shared" si="2"/>
        <v>244.4886692</v>
      </c>
      <c r="M9" s="52">
        <v>9.1</v>
      </c>
      <c r="N9" s="52">
        <v>86.03</v>
      </c>
      <c r="O9" s="52">
        <v>14.39</v>
      </c>
      <c r="P9" s="52">
        <v>4.18</v>
      </c>
      <c r="Q9" s="52">
        <v>0.03</v>
      </c>
      <c r="R9" s="52">
        <v>0.25</v>
      </c>
      <c r="S9" s="52">
        <f t="shared" si="3"/>
        <v>7.401984747</v>
      </c>
      <c r="T9" s="52">
        <f t="shared" si="4"/>
        <v>69.97722503</v>
      </c>
      <c r="U9" s="52">
        <f t="shared" si="5"/>
        <v>11.70489676</v>
      </c>
      <c r="V9" s="52">
        <f t="shared" si="6"/>
        <v>3.400032554</v>
      </c>
      <c r="W9" s="52">
        <f t="shared" si="7"/>
        <v>0.02440214752</v>
      </c>
      <c r="X9" s="52">
        <f t="shared" si="8"/>
        <v>0.2033512293</v>
      </c>
    </row>
    <row r="10" ht="15.0" customHeight="1">
      <c r="A10" s="51">
        <v>8.0</v>
      </c>
      <c r="B10" s="51" t="s">
        <v>61</v>
      </c>
      <c r="C10" s="51">
        <v>213.0</v>
      </c>
      <c r="D10" s="51" t="s">
        <v>24</v>
      </c>
      <c r="E10" s="51" t="s">
        <v>26</v>
      </c>
      <c r="F10" s="51" t="s">
        <v>299</v>
      </c>
      <c r="G10" s="51" t="s">
        <v>300</v>
      </c>
      <c r="H10" s="52">
        <v>0.5253889986207279</v>
      </c>
      <c r="I10" s="52">
        <v>1.2660929763974353</v>
      </c>
      <c r="J10" s="52">
        <v>99.89</v>
      </c>
      <c r="K10" s="52">
        <f t="shared" si="9"/>
        <v>1.114730416</v>
      </c>
      <c r="L10" s="52">
        <f t="shared" si="2"/>
        <v>3.344191249</v>
      </c>
      <c r="M10" s="52">
        <v>0.0</v>
      </c>
      <c r="N10" s="52">
        <v>0.0</v>
      </c>
      <c r="O10" s="52">
        <v>0.0</v>
      </c>
      <c r="P10" s="52">
        <v>0.0</v>
      </c>
      <c r="Q10" s="52">
        <v>37.35</v>
      </c>
      <c r="R10" s="52">
        <v>0.01</v>
      </c>
      <c r="S10" s="52">
        <f t="shared" si="3"/>
        <v>0</v>
      </c>
      <c r="T10" s="52">
        <f t="shared" si="4"/>
        <v>0</v>
      </c>
      <c r="U10" s="52">
        <f t="shared" si="5"/>
        <v>0</v>
      </c>
      <c r="V10" s="52">
        <f t="shared" si="6"/>
        <v>0</v>
      </c>
      <c r="W10" s="52">
        <f t="shared" si="7"/>
        <v>0.4728857267</v>
      </c>
      <c r="X10" s="52">
        <f t="shared" si="8"/>
        <v>0.0001266092976</v>
      </c>
    </row>
    <row r="11" ht="15.0" customHeight="1">
      <c r="A11" s="51">
        <v>8.0</v>
      </c>
      <c r="B11" s="51" t="s">
        <v>61</v>
      </c>
      <c r="C11" s="51">
        <v>208.0</v>
      </c>
      <c r="D11" s="51" t="s">
        <v>22</v>
      </c>
      <c r="E11" s="51" t="s">
        <v>23</v>
      </c>
      <c r="F11" s="51" t="s">
        <v>299</v>
      </c>
      <c r="G11" s="51" t="s">
        <v>300</v>
      </c>
      <c r="H11" s="52">
        <v>3.924203616179911</v>
      </c>
      <c r="I11" s="52">
        <v>2.116080867768437</v>
      </c>
      <c r="J11" s="52">
        <v>88.48</v>
      </c>
      <c r="K11" s="52">
        <f t="shared" si="9"/>
        <v>2.103359036</v>
      </c>
      <c r="L11" s="52">
        <f t="shared" si="2"/>
        <v>6.310077109</v>
      </c>
      <c r="M11" s="52">
        <v>48.76</v>
      </c>
      <c r="N11" s="52">
        <v>80.73</v>
      </c>
      <c r="O11" s="52">
        <v>15.37</v>
      </c>
      <c r="P11" s="52">
        <v>1.75</v>
      </c>
      <c r="Q11" s="52">
        <v>0.33</v>
      </c>
      <c r="R11" s="52">
        <v>0.57</v>
      </c>
      <c r="S11" s="52">
        <f t="shared" si="3"/>
        <v>1.031801031</v>
      </c>
      <c r="T11" s="52">
        <f t="shared" si="4"/>
        <v>1.708312085</v>
      </c>
      <c r="U11" s="52">
        <f t="shared" si="5"/>
        <v>0.3252416294</v>
      </c>
      <c r="V11" s="52">
        <f t="shared" si="6"/>
        <v>0.03703141519</v>
      </c>
      <c r="W11" s="52">
        <f t="shared" si="7"/>
        <v>0.006983066864</v>
      </c>
      <c r="X11" s="52">
        <f t="shared" si="8"/>
        <v>0.01206166095</v>
      </c>
    </row>
    <row r="12" ht="15.0" customHeight="1">
      <c r="A12" s="51">
        <v>10.0</v>
      </c>
      <c r="B12" s="51" t="s">
        <v>259</v>
      </c>
      <c r="C12" s="51">
        <v>168.0</v>
      </c>
      <c r="D12" s="51" t="s">
        <v>18</v>
      </c>
      <c r="E12" s="51" t="s">
        <v>20</v>
      </c>
      <c r="F12" s="51" t="s">
        <v>314</v>
      </c>
      <c r="G12" s="51" t="s">
        <v>300</v>
      </c>
      <c r="H12" s="52">
        <v>47.47494946398764</v>
      </c>
      <c r="I12" s="52">
        <v>50.0</v>
      </c>
      <c r="J12" s="52">
        <v>31.59</v>
      </c>
      <c r="K12" s="52">
        <f t="shared" ref="K12:K16" si="10">IF(J12&gt;0,(I12/J12)/SUMPRODUCT($I$12:$I$16/$J$12:$J$16)*100,"")</f>
        <v>74.00455842</v>
      </c>
      <c r="L12" s="52">
        <f t="shared" si="2"/>
        <v>222.0136753</v>
      </c>
      <c r="M12" s="52">
        <v>7.27</v>
      </c>
      <c r="N12" s="52">
        <v>63.13</v>
      </c>
      <c r="O12" s="52">
        <v>55.27</v>
      </c>
      <c r="P12" s="52">
        <v>3.13</v>
      </c>
      <c r="Q12" s="52">
        <v>0.3</v>
      </c>
      <c r="R12" s="52">
        <v>0.19</v>
      </c>
      <c r="S12" s="52">
        <f t="shared" si="3"/>
        <v>3.635</v>
      </c>
      <c r="T12" s="52">
        <f t="shared" si="4"/>
        <v>31.565</v>
      </c>
      <c r="U12" s="52">
        <f t="shared" si="5"/>
        <v>27.635</v>
      </c>
      <c r="V12" s="52">
        <f t="shared" si="6"/>
        <v>1.565</v>
      </c>
      <c r="W12" s="52">
        <f t="shared" si="7"/>
        <v>0.15</v>
      </c>
      <c r="X12" s="52">
        <f t="shared" si="8"/>
        <v>0.095</v>
      </c>
    </row>
    <row r="13" ht="15.0" customHeight="1">
      <c r="A13" s="51">
        <v>10.0</v>
      </c>
      <c r="B13" s="51" t="s">
        <v>259</v>
      </c>
      <c r="C13" s="51">
        <v>178.0</v>
      </c>
      <c r="D13" s="51" t="s">
        <v>16</v>
      </c>
      <c r="E13" s="51" t="s">
        <v>365</v>
      </c>
      <c r="F13" s="51" t="s">
        <v>299</v>
      </c>
      <c r="G13" s="51" t="s">
        <v>300</v>
      </c>
      <c r="H13" s="52">
        <v>23.835861938678544</v>
      </c>
      <c r="I13" s="52">
        <v>22.7972692113608</v>
      </c>
      <c r="J13" s="52">
        <v>90.77</v>
      </c>
      <c r="K13" s="52">
        <f t="shared" si="10"/>
        <v>11.74298715</v>
      </c>
      <c r="L13" s="52">
        <f t="shared" si="2"/>
        <v>35.22896144</v>
      </c>
      <c r="M13" s="52">
        <v>1.6</v>
      </c>
      <c r="N13" s="52">
        <v>84.95</v>
      </c>
      <c r="O13" s="52">
        <v>9.67</v>
      </c>
      <c r="P13" s="52">
        <v>0.99</v>
      </c>
      <c r="Q13" s="52">
        <v>0.18</v>
      </c>
      <c r="R13" s="52">
        <v>0.03</v>
      </c>
      <c r="S13" s="52">
        <f t="shared" si="3"/>
        <v>0.3647563074</v>
      </c>
      <c r="T13" s="52">
        <f t="shared" si="4"/>
        <v>19.3662802</v>
      </c>
      <c r="U13" s="52">
        <f t="shared" si="5"/>
        <v>2.204495933</v>
      </c>
      <c r="V13" s="52">
        <f t="shared" si="6"/>
        <v>0.2256929652</v>
      </c>
      <c r="W13" s="52">
        <f t="shared" si="7"/>
        <v>0.04103508458</v>
      </c>
      <c r="X13" s="52">
        <f t="shared" si="8"/>
        <v>0.006839180763</v>
      </c>
    </row>
    <row r="14" ht="15.0" customHeight="1">
      <c r="A14" s="51">
        <v>10.0</v>
      </c>
      <c r="B14" s="51" t="s">
        <v>259</v>
      </c>
      <c r="C14" s="51">
        <v>208.0</v>
      </c>
      <c r="D14" s="51" t="s">
        <v>22</v>
      </c>
      <c r="E14" s="51" t="s">
        <v>23</v>
      </c>
      <c r="F14" s="51" t="s">
        <v>299</v>
      </c>
      <c r="G14" s="51" t="s">
        <v>300</v>
      </c>
      <c r="H14" s="52">
        <v>24.667303476164577</v>
      </c>
      <c r="I14" s="52">
        <v>22.026750805205555</v>
      </c>
      <c r="J14" s="52">
        <v>88.48</v>
      </c>
      <c r="K14" s="52">
        <f t="shared" si="10"/>
        <v>11.6397437</v>
      </c>
      <c r="L14" s="52">
        <f t="shared" si="2"/>
        <v>34.91923111</v>
      </c>
      <c r="M14" s="52">
        <v>48.76</v>
      </c>
      <c r="N14" s="52">
        <v>80.73</v>
      </c>
      <c r="O14" s="52">
        <v>15.37</v>
      </c>
      <c r="P14" s="52">
        <v>1.75</v>
      </c>
      <c r="Q14" s="52">
        <v>0.33</v>
      </c>
      <c r="R14" s="52">
        <v>0.57</v>
      </c>
      <c r="S14" s="52">
        <f t="shared" si="3"/>
        <v>10.74024369</v>
      </c>
      <c r="T14" s="52">
        <f t="shared" si="4"/>
        <v>17.78219593</v>
      </c>
      <c r="U14" s="52">
        <f t="shared" si="5"/>
        <v>3.385511599</v>
      </c>
      <c r="V14" s="52">
        <f t="shared" si="6"/>
        <v>0.3854681391</v>
      </c>
      <c r="W14" s="52">
        <f t="shared" si="7"/>
        <v>0.07268827766</v>
      </c>
      <c r="X14" s="52">
        <f t="shared" si="8"/>
        <v>0.1255524796</v>
      </c>
    </row>
    <row r="15" ht="15.0" customHeight="1">
      <c r="A15" s="51">
        <v>10.0</v>
      </c>
      <c r="B15" s="51" t="s">
        <v>259</v>
      </c>
      <c r="C15" s="51">
        <v>213.0</v>
      </c>
      <c r="D15" s="51" t="s">
        <v>24</v>
      </c>
      <c r="E15" s="51" t="s">
        <v>26</v>
      </c>
      <c r="F15" s="51" t="s">
        <v>299</v>
      </c>
      <c r="G15" s="51" t="s">
        <v>300</v>
      </c>
      <c r="H15" s="52">
        <v>0.31986646824203907</v>
      </c>
      <c r="I15" s="52">
        <v>1.122118820809086</v>
      </c>
      <c r="J15" s="52">
        <v>99.89</v>
      </c>
      <c r="K15" s="52">
        <f t="shared" si="10"/>
        <v>0.5252365339</v>
      </c>
      <c r="L15" s="52">
        <f t="shared" si="2"/>
        <v>1.575709602</v>
      </c>
      <c r="M15" s="52">
        <v>0.0</v>
      </c>
      <c r="N15" s="52">
        <v>0.0</v>
      </c>
      <c r="O15" s="52">
        <v>0.0</v>
      </c>
      <c r="P15" s="52">
        <v>0.0</v>
      </c>
      <c r="Q15" s="52">
        <v>37.35</v>
      </c>
      <c r="R15" s="52">
        <v>0.01</v>
      </c>
      <c r="S15" s="52">
        <f t="shared" si="3"/>
        <v>0</v>
      </c>
      <c r="T15" s="52">
        <f t="shared" si="4"/>
        <v>0</v>
      </c>
      <c r="U15" s="52">
        <f t="shared" si="5"/>
        <v>0</v>
      </c>
      <c r="V15" s="52">
        <f t="shared" si="6"/>
        <v>0</v>
      </c>
      <c r="W15" s="52">
        <f t="shared" si="7"/>
        <v>0.4191113796</v>
      </c>
      <c r="X15" s="52">
        <f t="shared" si="8"/>
        <v>0.0001122118821</v>
      </c>
    </row>
    <row r="16" ht="15.0" customHeight="1">
      <c r="A16" s="51">
        <v>10.0</v>
      </c>
      <c r="B16" s="51" t="s">
        <v>259</v>
      </c>
      <c r="C16" s="51">
        <v>214.0</v>
      </c>
      <c r="D16" s="51" t="s">
        <v>24</v>
      </c>
      <c r="E16" s="51" t="s">
        <v>377</v>
      </c>
      <c r="F16" s="51" t="s">
        <v>299</v>
      </c>
      <c r="G16" s="51" t="s">
        <v>300</v>
      </c>
      <c r="H16" s="52">
        <v>3.7020186529272032</v>
      </c>
      <c r="I16" s="52">
        <v>4.053861162624563</v>
      </c>
      <c r="J16" s="52">
        <v>90.8</v>
      </c>
      <c r="K16" s="52">
        <f t="shared" si="10"/>
        <v>2.087474195</v>
      </c>
      <c r="L16" s="52">
        <f t="shared" si="2"/>
        <v>6.262422584</v>
      </c>
      <c r="M16" s="52">
        <v>0.0</v>
      </c>
      <c r="N16" s="52">
        <v>0.0</v>
      </c>
      <c r="O16" s="52">
        <v>0.0</v>
      </c>
      <c r="P16" s="52">
        <v>0.0</v>
      </c>
      <c r="Q16" s="52">
        <v>0.34</v>
      </c>
      <c r="R16" s="52">
        <v>2.98</v>
      </c>
      <c r="S16" s="52">
        <f t="shared" si="3"/>
        <v>0</v>
      </c>
      <c r="T16" s="52">
        <f t="shared" si="4"/>
        <v>0</v>
      </c>
      <c r="U16" s="52">
        <f t="shared" si="5"/>
        <v>0</v>
      </c>
      <c r="V16" s="52">
        <f t="shared" si="6"/>
        <v>0</v>
      </c>
      <c r="W16" s="52">
        <f t="shared" si="7"/>
        <v>0.01378312795</v>
      </c>
      <c r="X16" s="52">
        <f t="shared" si="8"/>
        <v>0.1208050626</v>
      </c>
    </row>
    <row r="17" ht="15.0" customHeight="1">
      <c r="A17" s="51">
        <v>10.0</v>
      </c>
      <c r="B17" s="51" t="s">
        <v>266</v>
      </c>
      <c r="C17" s="51">
        <v>168.0</v>
      </c>
      <c r="D17" s="51" t="s">
        <v>18</v>
      </c>
      <c r="E17" s="51" t="s">
        <v>20</v>
      </c>
      <c r="F17" s="51" t="s">
        <v>314</v>
      </c>
      <c r="G17" s="51" t="s">
        <v>300</v>
      </c>
      <c r="H17" s="52">
        <v>47.47494946398764</v>
      </c>
      <c r="I17" s="52">
        <v>47.5</v>
      </c>
      <c r="J17" s="52">
        <v>31.59</v>
      </c>
      <c r="K17" s="52">
        <f t="shared" ref="K17:K21" si="11">IF(J17&gt;0,(I17/J17)/SUMPRODUCT($I$17:$I$21/$J$17:$J$21)*100,"")</f>
        <v>72.03957551</v>
      </c>
      <c r="L17" s="52">
        <f t="shared" si="2"/>
        <v>216.1187265</v>
      </c>
      <c r="M17" s="52">
        <v>7.27</v>
      </c>
      <c r="N17" s="52">
        <v>63.13</v>
      </c>
      <c r="O17" s="52">
        <v>55.27</v>
      </c>
      <c r="P17" s="52">
        <v>3.13</v>
      </c>
      <c r="Q17" s="52">
        <v>0.3</v>
      </c>
      <c r="R17" s="52">
        <v>0.19</v>
      </c>
      <c r="S17" s="52">
        <f t="shared" si="3"/>
        <v>3.45325</v>
      </c>
      <c r="T17" s="52">
        <f t="shared" si="4"/>
        <v>29.98675</v>
      </c>
      <c r="U17" s="52">
        <f t="shared" si="5"/>
        <v>26.25325</v>
      </c>
      <c r="V17" s="52">
        <f t="shared" si="6"/>
        <v>1.48675</v>
      </c>
      <c r="W17" s="52">
        <f t="shared" si="7"/>
        <v>0.1425</v>
      </c>
      <c r="X17" s="52">
        <f t="shared" si="8"/>
        <v>0.09025</v>
      </c>
    </row>
    <row r="18" ht="15.0" customHeight="1">
      <c r="A18" s="51">
        <v>10.0</v>
      </c>
      <c r="B18" s="51" t="s">
        <v>266</v>
      </c>
      <c r="C18" s="51">
        <v>178.0</v>
      </c>
      <c r="D18" s="51" t="s">
        <v>16</v>
      </c>
      <c r="E18" s="51" t="s">
        <v>365</v>
      </c>
      <c r="F18" s="51" t="s">
        <v>299</v>
      </c>
      <c r="G18" s="51" t="s">
        <v>300</v>
      </c>
      <c r="H18" s="52">
        <v>23.835861938678544</v>
      </c>
      <c r="I18" s="52">
        <v>24.907178208544362</v>
      </c>
      <c r="J18" s="52">
        <v>90.77</v>
      </c>
      <c r="K18" s="52">
        <f t="shared" si="11"/>
        <v>13.14647603</v>
      </c>
      <c r="L18" s="52">
        <f t="shared" si="2"/>
        <v>39.4394281</v>
      </c>
      <c r="M18" s="52">
        <v>1.6</v>
      </c>
      <c r="N18" s="52">
        <v>84.95</v>
      </c>
      <c r="O18" s="52">
        <v>9.67</v>
      </c>
      <c r="P18" s="52">
        <v>0.99</v>
      </c>
      <c r="Q18" s="52">
        <v>0.18</v>
      </c>
      <c r="R18" s="52">
        <v>0.03</v>
      </c>
      <c r="S18" s="52">
        <f t="shared" si="3"/>
        <v>0.3985148513</v>
      </c>
      <c r="T18" s="52">
        <f t="shared" si="4"/>
        <v>21.15864789</v>
      </c>
      <c r="U18" s="52">
        <f t="shared" si="5"/>
        <v>2.408524133</v>
      </c>
      <c r="V18" s="52">
        <f t="shared" si="6"/>
        <v>0.2465810643</v>
      </c>
      <c r="W18" s="52">
        <f t="shared" si="7"/>
        <v>0.04483292078</v>
      </c>
      <c r="X18" s="52">
        <f t="shared" si="8"/>
        <v>0.007472153463</v>
      </c>
    </row>
    <row r="19" ht="15.0" customHeight="1">
      <c r="A19" s="51">
        <v>10.0</v>
      </c>
      <c r="B19" s="51" t="s">
        <v>266</v>
      </c>
      <c r="C19" s="51">
        <v>208.0</v>
      </c>
      <c r="D19" s="51" t="s">
        <v>22</v>
      </c>
      <c r="E19" s="51" t="s">
        <v>23</v>
      </c>
      <c r="F19" s="51" t="s">
        <v>299</v>
      </c>
      <c r="G19" s="51" t="s">
        <v>300</v>
      </c>
      <c r="H19" s="52">
        <v>24.667303476164577</v>
      </c>
      <c r="I19" s="52">
        <v>22.33026076428074</v>
      </c>
      <c r="J19" s="52">
        <v>88.48</v>
      </c>
      <c r="K19" s="52">
        <f t="shared" si="11"/>
        <v>12.09137922</v>
      </c>
      <c r="L19" s="52">
        <f t="shared" si="2"/>
        <v>36.27413765</v>
      </c>
      <c r="M19" s="52">
        <v>48.76</v>
      </c>
      <c r="N19" s="52">
        <v>80.73</v>
      </c>
      <c r="O19" s="52">
        <v>15.37</v>
      </c>
      <c r="P19" s="52">
        <v>1.75</v>
      </c>
      <c r="Q19" s="52">
        <v>0.33</v>
      </c>
      <c r="R19" s="52">
        <v>0.57</v>
      </c>
      <c r="S19" s="52">
        <f t="shared" si="3"/>
        <v>10.88823515</v>
      </c>
      <c r="T19" s="52">
        <f t="shared" si="4"/>
        <v>18.02721952</v>
      </c>
      <c r="U19" s="52">
        <f t="shared" si="5"/>
        <v>3.432161079</v>
      </c>
      <c r="V19" s="52">
        <f t="shared" si="6"/>
        <v>0.3907795634</v>
      </c>
      <c r="W19" s="52">
        <f t="shared" si="7"/>
        <v>0.07368986052</v>
      </c>
      <c r="X19" s="52">
        <f t="shared" si="8"/>
        <v>0.1272824864</v>
      </c>
    </row>
    <row r="20" ht="15.0" customHeight="1">
      <c r="A20" s="51">
        <v>10.0</v>
      </c>
      <c r="B20" s="51" t="s">
        <v>266</v>
      </c>
      <c r="C20" s="51">
        <v>213.0</v>
      </c>
      <c r="D20" s="51" t="s">
        <v>24</v>
      </c>
      <c r="E20" s="51" t="s">
        <v>26</v>
      </c>
      <c r="F20" s="51" t="s">
        <v>299</v>
      </c>
      <c r="G20" s="51" t="s">
        <v>300</v>
      </c>
      <c r="H20" s="52">
        <v>0.31986646824203907</v>
      </c>
      <c r="I20" s="52">
        <v>1.1286203214613533</v>
      </c>
      <c r="J20" s="52">
        <v>99.89</v>
      </c>
      <c r="K20" s="52">
        <f t="shared" si="11"/>
        <v>0.5413186798</v>
      </c>
      <c r="L20" s="52">
        <f t="shared" si="2"/>
        <v>1.623956039</v>
      </c>
      <c r="M20" s="52">
        <v>0.0</v>
      </c>
      <c r="N20" s="52">
        <v>0.0</v>
      </c>
      <c r="O20" s="52">
        <v>0.0</v>
      </c>
      <c r="P20" s="52">
        <v>0.0</v>
      </c>
      <c r="Q20" s="52">
        <v>37.35</v>
      </c>
      <c r="R20" s="52">
        <v>0.01</v>
      </c>
      <c r="S20" s="52">
        <f t="shared" si="3"/>
        <v>0</v>
      </c>
      <c r="T20" s="52">
        <f t="shared" si="4"/>
        <v>0</v>
      </c>
      <c r="U20" s="52">
        <f t="shared" si="5"/>
        <v>0</v>
      </c>
      <c r="V20" s="52">
        <f t="shared" si="6"/>
        <v>0</v>
      </c>
      <c r="W20" s="52">
        <f t="shared" si="7"/>
        <v>0.4215396901</v>
      </c>
      <c r="X20" s="52">
        <f t="shared" si="8"/>
        <v>0.0001128620321</v>
      </c>
    </row>
    <row r="21" ht="15.0" customHeight="1">
      <c r="A21" s="51">
        <v>10.0</v>
      </c>
      <c r="B21" s="51" t="s">
        <v>266</v>
      </c>
      <c r="C21" s="51">
        <v>214.0</v>
      </c>
      <c r="D21" s="51" t="s">
        <v>24</v>
      </c>
      <c r="E21" s="51" t="s">
        <v>377</v>
      </c>
      <c r="F21" s="51" t="s">
        <v>299</v>
      </c>
      <c r="G21" s="51" t="s">
        <v>300</v>
      </c>
      <c r="H21" s="52">
        <v>3.7020186529272032</v>
      </c>
      <c r="I21" s="52">
        <v>4.133940705713542</v>
      </c>
      <c r="J21" s="52">
        <v>90.8</v>
      </c>
      <c r="K21" s="52">
        <f t="shared" si="11"/>
        <v>2.181250561</v>
      </c>
      <c r="L21" s="52">
        <f t="shared" si="2"/>
        <v>6.543751682</v>
      </c>
      <c r="M21" s="52">
        <v>0.0</v>
      </c>
      <c r="N21" s="52">
        <v>0.0</v>
      </c>
      <c r="O21" s="52">
        <v>0.0</v>
      </c>
      <c r="P21" s="52">
        <v>0.0</v>
      </c>
      <c r="Q21" s="52">
        <v>0.34</v>
      </c>
      <c r="R21" s="52">
        <v>2.98</v>
      </c>
      <c r="S21" s="52">
        <f t="shared" si="3"/>
        <v>0</v>
      </c>
      <c r="T21" s="52">
        <f t="shared" si="4"/>
        <v>0</v>
      </c>
      <c r="U21" s="52">
        <f t="shared" si="5"/>
        <v>0</v>
      </c>
      <c r="V21" s="52">
        <f t="shared" si="6"/>
        <v>0</v>
      </c>
      <c r="W21" s="52">
        <f t="shared" si="7"/>
        <v>0.0140553984</v>
      </c>
      <c r="X21" s="52">
        <f t="shared" si="8"/>
        <v>0.123191433</v>
      </c>
    </row>
    <row r="22" ht="15.0" customHeight="1">
      <c r="A22" s="51">
        <v>11.0</v>
      </c>
      <c r="B22" s="51" t="s">
        <v>259</v>
      </c>
      <c r="C22" s="51">
        <v>188.0</v>
      </c>
      <c r="D22" s="51" t="s">
        <v>16</v>
      </c>
      <c r="E22" s="51" t="s">
        <v>19</v>
      </c>
      <c r="F22" s="51" t="s">
        <v>299</v>
      </c>
      <c r="G22" s="51" t="s">
        <v>300</v>
      </c>
      <c r="H22" s="52">
        <v>28.01</v>
      </c>
      <c r="I22" s="52">
        <v>17.867161380672034</v>
      </c>
      <c r="J22" s="52">
        <v>87.78</v>
      </c>
      <c r="K22" s="52">
        <f t="shared" ref="K22:K28" si="12">IF(J22&gt;0,(I22/J22)/SUMPRODUCT($I$22:$I$28/$J$22:$J$28)*100,"")</f>
        <v>7.032194165</v>
      </c>
      <c r="L22" s="52">
        <f t="shared" si="2"/>
        <v>21.0965825</v>
      </c>
      <c r="M22" s="52">
        <v>9.1</v>
      </c>
      <c r="N22" s="52">
        <v>86.03</v>
      </c>
      <c r="O22" s="52">
        <v>14.39</v>
      </c>
      <c r="P22" s="52">
        <v>4.18</v>
      </c>
      <c r="Q22" s="52">
        <v>0.03</v>
      </c>
      <c r="R22" s="52">
        <v>0.25</v>
      </c>
      <c r="S22" s="52">
        <f t="shared" si="3"/>
        <v>1.625911686</v>
      </c>
      <c r="T22" s="52">
        <f t="shared" si="4"/>
        <v>15.37111894</v>
      </c>
      <c r="U22" s="52">
        <f t="shared" si="5"/>
        <v>2.571084523</v>
      </c>
      <c r="V22" s="52">
        <f t="shared" si="6"/>
        <v>0.7468473457</v>
      </c>
      <c r="W22" s="52">
        <f t="shared" si="7"/>
        <v>0.005360148414</v>
      </c>
      <c r="X22" s="52">
        <f t="shared" si="8"/>
        <v>0.04466790345</v>
      </c>
    </row>
    <row r="23" ht="15.0" customHeight="1">
      <c r="A23" s="51">
        <v>11.0</v>
      </c>
      <c r="B23" s="51" t="s">
        <v>259</v>
      </c>
      <c r="C23" s="51">
        <v>208.0</v>
      </c>
      <c r="D23" s="51" t="s">
        <v>22</v>
      </c>
      <c r="E23" s="51" t="s">
        <v>23</v>
      </c>
      <c r="F23" s="51" t="s">
        <v>299</v>
      </c>
      <c r="G23" s="51" t="s">
        <v>300</v>
      </c>
      <c r="H23" s="52">
        <v>19.900000000000002</v>
      </c>
      <c r="I23" s="52">
        <v>10.4278559875149</v>
      </c>
      <c r="J23" s="52">
        <v>88.48</v>
      </c>
      <c r="K23" s="52">
        <f t="shared" si="12"/>
        <v>4.071746959</v>
      </c>
      <c r="L23" s="52">
        <f t="shared" si="2"/>
        <v>12.21524088</v>
      </c>
      <c r="M23" s="52">
        <v>48.76</v>
      </c>
      <c r="N23" s="52">
        <v>80.73</v>
      </c>
      <c r="O23" s="52">
        <v>15.37</v>
      </c>
      <c r="P23" s="52">
        <v>1.75</v>
      </c>
      <c r="Q23" s="52">
        <v>0.33</v>
      </c>
      <c r="R23" s="52">
        <v>0.57</v>
      </c>
      <c r="S23" s="52">
        <f t="shared" si="3"/>
        <v>5.08462258</v>
      </c>
      <c r="T23" s="52">
        <f t="shared" si="4"/>
        <v>8.418408139</v>
      </c>
      <c r="U23" s="52">
        <f t="shared" si="5"/>
        <v>1.602761465</v>
      </c>
      <c r="V23" s="52">
        <f t="shared" si="6"/>
        <v>0.1824874798</v>
      </c>
      <c r="W23" s="52">
        <f t="shared" si="7"/>
        <v>0.03441192476</v>
      </c>
      <c r="X23" s="52">
        <f t="shared" si="8"/>
        <v>0.05943877913</v>
      </c>
    </row>
    <row r="24" ht="15.0" customHeight="1">
      <c r="A24" s="51">
        <v>11.0</v>
      </c>
      <c r="B24" s="51" t="s">
        <v>259</v>
      </c>
      <c r="C24" s="51">
        <v>211.0</v>
      </c>
      <c r="D24" s="51" t="s">
        <v>22</v>
      </c>
      <c r="E24" s="51" t="s">
        <v>25</v>
      </c>
      <c r="F24" s="51" t="s">
        <v>299</v>
      </c>
      <c r="G24" s="51" t="s">
        <v>300</v>
      </c>
      <c r="H24" s="52">
        <v>1.0</v>
      </c>
      <c r="I24" s="52">
        <v>1.0</v>
      </c>
      <c r="J24" s="52">
        <v>99.0</v>
      </c>
      <c r="K24" s="52">
        <f t="shared" si="12"/>
        <v>0.3489760923</v>
      </c>
      <c r="L24" s="52">
        <f t="shared" si="2"/>
        <v>1.046928277</v>
      </c>
      <c r="M24" s="52">
        <v>280.0</v>
      </c>
      <c r="N24" s="52">
        <v>0.0</v>
      </c>
      <c r="O24" s="52">
        <v>0.0</v>
      </c>
      <c r="P24" s="52">
        <v>0.0</v>
      </c>
      <c r="Q24" s="52">
        <v>0.0</v>
      </c>
      <c r="R24" s="52">
        <v>0.0</v>
      </c>
      <c r="S24" s="52">
        <f t="shared" si="3"/>
        <v>2.8</v>
      </c>
      <c r="T24" s="52">
        <f t="shared" si="4"/>
        <v>0</v>
      </c>
      <c r="U24" s="52">
        <f t="shared" si="5"/>
        <v>0</v>
      </c>
      <c r="V24" s="52">
        <f t="shared" si="6"/>
        <v>0</v>
      </c>
      <c r="W24" s="52">
        <f t="shared" si="7"/>
        <v>0</v>
      </c>
      <c r="X24" s="52">
        <f t="shared" si="8"/>
        <v>0</v>
      </c>
    </row>
    <row r="25" ht="15.0" customHeight="1">
      <c r="A25" s="51">
        <v>11.0</v>
      </c>
      <c r="B25" s="51" t="s">
        <v>259</v>
      </c>
      <c r="C25" s="51">
        <v>213.0</v>
      </c>
      <c r="D25" s="51" t="s">
        <v>24</v>
      </c>
      <c r="E25" s="51" t="s">
        <v>26</v>
      </c>
      <c r="F25" s="51" t="s">
        <v>299</v>
      </c>
      <c r="G25" s="51" t="s">
        <v>300</v>
      </c>
      <c r="H25" s="52">
        <v>1.09</v>
      </c>
      <c r="I25" s="52">
        <v>2.2777108057732547</v>
      </c>
      <c r="J25" s="52">
        <v>99.89</v>
      </c>
      <c r="K25" s="52">
        <f t="shared" si="12"/>
        <v>0.7877845133</v>
      </c>
      <c r="L25" s="52">
        <f t="shared" si="2"/>
        <v>2.36335354</v>
      </c>
      <c r="M25" s="52">
        <v>0.0</v>
      </c>
      <c r="N25" s="52">
        <v>0.0</v>
      </c>
      <c r="O25" s="52">
        <v>0.0</v>
      </c>
      <c r="P25" s="52">
        <v>0.0</v>
      </c>
      <c r="Q25" s="52">
        <v>37.35</v>
      </c>
      <c r="R25" s="52">
        <v>0.01</v>
      </c>
      <c r="S25" s="52">
        <f t="shared" si="3"/>
        <v>0</v>
      </c>
      <c r="T25" s="52">
        <f t="shared" si="4"/>
        <v>0</v>
      </c>
      <c r="U25" s="52">
        <f t="shared" si="5"/>
        <v>0</v>
      </c>
      <c r="V25" s="52">
        <f t="shared" si="6"/>
        <v>0</v>
      </c>
      <c r="W25" s="52">
        <f t="shared" si="7"/>
        <v>0.850724986</v>
      </c>
      <c r="X25" s="52">
        <f t="shared" si="8"/>
        <v>0.0002277710806</v>
      </c>
    </row>
    <row r="26" ht="15.0" customHeight="1">
      <c r="A26" s="51">
        <v>11.0</v>
      </c>
      <c r="B26" s="51" t="s">
        <v>259</v>
      </c>
      <c r="C26" s="51">
        <v>218.0</v>
      </c>
      <c r="D26" s="51" t="s">
        <v>24</v>
      </c>
      <c r="E26" s="51" t="s">
        <v>30</v>
      </c>
      <c r="F26" s="51" t="s">
        <v>299</v>
      </c>
      <c r="G26" s="51" t="s">
        <v>300</v>
      </c>
      <c r="H26" s="52">
        <v>0.006170232645047458</v>
      </c>
      <c r="I26" s="52">
        <v>0.1</v>
      </c>
      <c r="J26" s="52">
        <v>98.18</v>
      </c>
      <c r="K26" s="52">
        <f t="shared" si="12"/>
        <v>0.03518907429</v>
      </c>
      <c r="L26" s="52">
        <f t="shared" si="2"/>
        <v>0.1055672229</v>
      </c>
      <c r="M26" s="52">
        <v>0.0</v>
      </c>
      <c r="N26" s="52">
        <v>0.0</v>
      </c>
      <c r="O26" s="52">
        <v>0.0</v>
      </c>
      <c r="P26" s="52">
        <v>0.0</v>
      </c>
      <c r="Q26" s="52">
        <v>1.05</v>
      </c>
      <c r="R26" s="52">
        <v>23.79</v>
      </c>
      <c r="S26" s="52">
        <f t="shared" si="3"/>
        <v>0</v>
      </c>
      <c r="T26" s="52">
        <f t="shared" si="4"/>
        <v>0</v>
      </c>
      <c r="U26" s="52">
        <f t="shared" si="5"/>
        <v>0</v>
      </c>
      <c r="V26" s="52">
        <f t="shared" si="6"/>
        <v>0</v>
      </c>
      <c r="W26" s="52">
        <f t="shared" si="7"/>
        <v>0.00105</v>
      </c>
      <c r="X26" s="52">
        <f t="shared" si="8"/>
        <v>0.02379</v>
      </c>
    </row>
    <row r="27" ht="15.0" customHeight="1">
      <c r="A27" s="51">
        <v>11.0</v>
      </c>
      <c r="B27" s="51" t="s">
        <v>259</v>
      </c>
      <c r="C27" s="51">
        <v>132.0</v>
      </c>
      <c r="D27" s="51" t="s">
        <v>28</v>
      </c>
      <c r="E27" s="51" t="s">
        <v>32</v>
      </c>
      <c r="F27" s="51" t="s">
        <v>314</v>
      </c>
      <c r="G27" s="51" t="s">
        <v>300</v>
      </c>
      <c r="H27" s="52">
        <v>39.99382976735496</v>
      </c>
      <c r="I27" s="52">
        <v>50.0</v>
      </c>
      <c r="J27" s="52">
        <v>21.43</v>
      </c>
      <c r="K27" s="52">
        <f t="shared" si="12"/>
        <v>80.60810346</v>
      </c>
      <c r="L27" s="52">
        <f t="shared" si="2"/>
        <v>241.8243104</v>
      </c>
      <c r="M27" s="52">
        <v>13.3</v>
      </c>
      <c r="N27" s="52">
        <v>64.63</v>
      </c>
      <c r="O27" s="52">
        <v>57.76</v>
      </c>
      <c r="P27" s="52">
        <v>2.61</v>
      </c>
      <c r="Q27" s="52">
        <v>0.49</v>
      </c>
      <c r="R27" s="52">
        <v>0.27</v>
      </c>
      <c r="S27" s="52">
        <f t="shared" si="3"/>
        <v>6.65</v>
      </c>
      <c r="T27" s="52">
        <f t="shared" si="4"/>
        <v>32.315</v>
      </c>
      <c r="U27" s="52">
        <f t="shared" si="5"/>
        <v>28.88</v>
      </c>
      <c r="V27" s="52">
        <f t="shared" si="6"/>
        <v>1.305</v>
      </c>
      <c r="W27" s="52">
        <f t="shared" si="7"/>
        <v>0.245</v>
      </c>
      <c r="X27" s="52">
        <f t="shared" si="8"/>
        <v>0.135</v>
      </c>
    </row>
    <row r="28" ht="15.0" customHeight="1">
      <c r="A28" s="51">
        <v>11.0</v>
      </c>
      <c r="B28" s="51" t="s">
        <v>259</v>
      </c>
      <c r="C28" s="51">
        <v>172.0</v>
      </c>
      <c r="D28" s="51" t="s">
        <v>16</v>
      </c>
      <c r="E28" s="51" t="s">
        <v>34</v>
      </c>
      <c r="F28" s="51" t="s">
        <v>299</v>
      </c>
      <c r="G28" s="51" t="s">
        <v>300</v>
      </c>
      <c r="H28" s="52">
        <v>10.000000000000002</v>
      </c>
      <c r="I28" s="52">
        <v>18.32727182603981</v>
      </c>
      <c r="J28" s="52">
        <v>88.98</v>
      </c>
      <c r="K28" s="52">
        <f t="shared" si="12"/>
        <v>7.116005741</v>
      </c>
      <c r="L28" s="52">
        <f t="shared" si="2"/>
        <v>21.34801722</v>
      </c>
      <c r="M28" s="52">
        <v>13.73</v>
      </c>
      <c r="N28" s="52">
        <v>83.51</v>
      </c>
      <c r="O28" s="52">
        <v>24.43</v>
      </c>
      <c r="P28" s="52">
        <v>15.84</v>
      </c>
      <c r="Q28" s="52">
        <v>0.11</v>
      </c>
      <c r="R28" s="52">
        <v>1.72</v>
      </c>
      <c r="S28" s="52">
        <f t="shared" si="3"/>
        <v>2.516334422</v>
      </c>
      <c r="T28" s="52">
        <f t="shared" si="4"/>
        <v>15.3051047</v>
      </c>
      <c r="U28" s="52">
        <f t="shared" si="5"/>
        <v>4.477352507</v>
      </c>
      <c r="V28" s="52">
        <f t="shared" si="6"/>
        <v>2.903039857</v>
      </c>
      <c r="W28" s="52">
        <f t="shared" si="7"/>
        <v>0.02015999901</v>
      </c>
      <c r="X28" s="52">
        <f t="shared" si="8"/>
        <v>0.3152290754</v>
      </c>
    </row>
    <row r="29" ht="15.0" customHeight="1">
      <c r="A29" s="51">
        <v>11.0</v>
      </c>
      <c r="B29" s="51" t="s">
        <v>266</v>
      </c>
      <c r="C29" s="51">
        <v>188.0</v>
      </c>
      <c r="D29" s="51" t="s">
        <v>16</v>
      </c>
      <c r="E29" s="51" t="s">
        <v>19</v>
      </c>
      <c r="F29" s="51" t="s">
        <v>299</v>
      </c>
      <c r="G29" s="51" t="s">
        <v>300</v>
      </c>
      <c r="H29" s="52">
        <v>28.01</v>
      </c>
      <c r="I29" s="52">
        <v>22.355159102506754</v>
      </c>
      <c r="J29" s="52">
        <v>87.78</v>
      </c>
      <c r="K29" s="52">
        <f t="shared" ref="K29:K35" si="13">IF(J29&gt;0,(I29/J29)/SUMPRODUCT($I$29:$I$35/$J$29:$J$35)*100,"")</f>
        <v>10.02491296</v>
      </c>
      <c r="L29" s="52">
        <f t="shared" si="2"/>
        <v>30.07473889</v>
      </c>
      <c r="M29" s="52">
        <v>9.1</v>
      </c>
      <c r="N29" s="52">
        <v>86.03</v>
      </c>
      <c r="O29" s="52">
        <v>14.39</v>
      </c>
      <c r="P29" s="52">
        <v>4.18</v>
      </c>
      <c r="Q29" s="52">
        <v>0.03</v>
      </c>
      <c r="R29" s="52">
        <v>0.25</v>
      </c>
      <c r="S29" s="52">
        <f t="shared" si="3"/>
        <v>2.034319478</v>
      </c>
      <c r="T29" s="52">
        <f t="shared" si="4"/>
        <v>19.23214338</v>
      </c>
      <c r="U29" s="52">
        <f t="shared" si="5"/>
        <v>3.216907395</v>
      </c>
      <c r="V29" s="52">
        <f t="shared" si="6"/>
        <v>0.9344456505</v>
      </c>
      <c r="W29" s="52">
        <f t="shared" si="7"/>
        <v>0.006706547731</v>
      </c>
      <c r="X29" s="52">
        <f t="shared" si="8"/>
        <v>0.05588789776</v>
      </c>
    </row>
    <row r="30" ht="15.0" customHeight="1">
      <c r="A30" s="51">
        <v>11.0</v>
      </c>
      <c r="B30" s="51" t="s">
        <v>266</v>
      </c>
      <c r="C30" s="51">
        <v>208.0</v>
      </c>
      <c r="D30" s="51" t="s">
        <v>22</v>
      </c>
      <c r="E30" s="51" t="s">
        <v>23</v>
      </c>
      <c r="F30" s="51" t="s">
        <v>299</v>
      </c>
      <c r="G30" s="51" t="s">
        <v>300</v>
      </c>
      <c r="H30" s="52">
        <v>19.900000000000002</v>
      </c>
      <c r="I30" s="52">
        <v>11.075022516783555</v>
      </c>
      <c r="J30" s="52">
        <v>88.48</v>
      </c>
      <c r="K30" s="52">
        <f t="shared" si="13"/>
        <v>4.927174303</v>
      </c>
      <c r="L30" s="52">
        <f t="shared" si="2"/>
        <v>14.78152291</v>
      </c>
      <c r="M30" s="52">
        <v>48.76</v>
      </c>
      <c r="N30" s="52">
        <v>80.73</v>
      </c>
      <c r="O30" s="52">
        <v>15.37</v>
      </c>
      <c r="P30" s="52">
        <v>1.75</v>
      </c>
      <c r="Q30" s="52">
        <v>0.33</v>
      </c>
      <c r="R30" s="52">
        <v>0.57</v>
      </c>
      <c r="S30" s="52">
        <f t="shared" si="3"/>
        <v>5.400180979</v>
      </c>
      <c r="T30" s="52">
        <f t="shared" si="4"/>
        <v>8.940865678</v>
      </c>
      <c r="U30" s="52">
        <f t="shared" si="5"/>
        <v>1.702230961</v>
      </c>
      <c r="V30" s="52">
        <f t="shared" si="6"/>
        <v>0.193812894</v>
      </c>
      <c r="W30" s="52">
        <f t="shared" si="7"/>
        <v>0.03654757431</v>
      </c>
      <c r="X30" s="52">
        <f t="shared" si="8"/>
        <v>0.06312762835</v>
      </c>
    </row>
    <row r="31" ht="15.0" customHeight="1">
      <c r="A31" s="51">
        <v>11.0</v>
      </c>
      <c r="B31" s="51" t="s">
        <v>266</v>
      </c>
      <c r="C31" s="51">
        <v>211.0</v>
      </c>
      <c r="D31" s="51" t="s">
        <v>22</v>
      </c>
      <c r="E31" s="51" t="s">
        <v>25</v>
      </c>
      <c r="F31" s="51" t="s">
        <v>299</v>
      </c>
      <c r="G31" s="51" t="s">
        <v>300</v>
      </c>
      <c r="H31" s="52">
        <v>1.0</v>
      </c>
      <c r="I31" s="52">
        <v>1.0</v>
      </c>
      <c r="J31" s="52">
        <v>99.0</v>
      </c>
      <c r="K31" s="52">
        <f t="shared" si="13"/>
        <v>0.3976154283</v>
      </c>
      <c r="L31" s="52">
        <f t="shared" si="2"/>
        <v>1.192846285</v>
      </c>
      <c r="M31" s="52">
        <v>280.0</v>
      </c>
      <c r="N31" s="52">
        <v>0.0</v>
      </c>
      <c r="O31" s="52">
        <v>0.0</v>
      </c>
      <c r="P31" s="52">
        <v>0.0</v>
      </c>
      <c r="Q31" s="52">
        <v>0.0</v>
      </c>
      <c r="R31" s="52">
        <v>0.0</v>
      </c>
      <c r="S31" s="52">
        <f t="shared" si="3"/>
        <v>2.8</v>
      </c>
      <c r="T31" s="52">
        <f t="shared" si="4"/>
        <v>0</v>
      </c>
      <c r="U31" s="52">
        <f t="shared" si="5"/>
        <v>0</v>
      </c>
      <c r="V31" s="52">
        <f t="shared" si="6"/>
        <v>0</v>
      </c>
      <c r="W31" s="52">
        <f t="shared" si="7"/>
        <v>0</v>
      </c>
      <c r="X31" s="52">
        <f t="shared" si="8"/>
        <v>0</v>
      </c>
    </row>
    <row r="32" ht="15.0" customHeight="1">
      <c r="A32" s="51">
        <v>11.0</v>
      </c>
      <c r="B32" s="51" t="s">
        <v>266</v>
      </c>
      <c r="C32" s="51">
        <v>213.0</v>
      </c>
      <c r="D32" s="51" t="s">
        <v>24</v>
      </c>
      <c r="E32" s="51" t="s">
        <v>26</v>
      </c>
      <c r="F32" s="51" t="s">
        <v>299</v>
      </c>
      <c r="G32" s="51" t="s">
        <v>300</v>
      </c>
      <c r="H32" s="52">
        <v>1.09</v>
      </c>
      <c r="I32" s="52">
        <v>2.7286076789113616</v>
      </c>
      <c r="J32" s="52">
        <v>99.89</v>
      </c>
      <c r="K32" s="52">
        <f t="shared" si="13"/>
        <v>1.075269943</v>
      </c>
      <c r="L32" s="52">
        <f t="shared" si="2"/>
        <v>3.225809829</v>
      </c>
      <c r="M32" s="52">
        <v>0.0</v>
      </c>
      <c r="N32" s="52">
        <v>0.0</v>
      </c>
      <c r="O32" s="52">
        <v>0.0</v>
      </c>
      <c r="P32" s="52">
        <v>0.0</v>
      </c>
      <c r="Q32" s="52">
        <v>37.35</v>
      </c>
      <c r="R32" s="52">
        <v>0.01</v>
      </c>
      <c r="S32" s="52">
        <f t="shared" si="3"/>
        <v>0</v>
      </c>
      <c r="T32" s="52">
        <f t="shared" si="4"/>
        <v>0</v>
      </c>
      <c r="U32" s="52">
        <f t="shared" si="5"/>
        <v>0</v>
      </c>
      <c r="V32" s="52">
        <f t="shared" si="6"/>
        <v>0</v>
      </c>
      <c r="W32" s="52">
        <f t="shared" si="7"/>
        <v>1.019134968</v>
      </c>
      <c r="X32" s="52">
        <f t="shared" si="8"/>
        <v>0.0002728607679</v>
      </c>
    </row>
    <row r="33" ht="15.0" customHeight="1">
      <c r="A33" s="51">
        <v>11.0</v>
      </c>
      <c r="B33" s="51" t="s">
        <v>266</v>
      </c>
      <c r="C33" s="51">
        <v>218.0</v>
      </c>
      <c r="D33" s="51" t="s">
        <v>24</v>
      </c>
      <c r="E33" s="51" t="s">
        <v>30</v>
      </c>
      <c r="F33" s="51" t="s">
        <v>299</v>
      </c>
      <c r="G33" s="51" t="s">
        <v>300</v>
      </c>
      <c r="H33" s="52">
        <v>0.006170232645047458</v>
      </c>
      <c r="I33" s="52">
        <v>0.1</v>
      </c>
      <c r="J33" s="52">
        <v>98.18</v>
      </c>
      <c r="K33" s="52">
        <f t="shared" si="13"/>
        <v>0.0400936315</v>
      </c>
      <c r="L33" s="52">
        <f t="shared" si="2"/>
        <v>0.1202808945</v>
      </c>
      <c r="M33" s="52">
        <v>0.0</v>
      </c>
      <c r="N33" s="52">
        <v>0.0</v>
      </c>
      <c r="O33" s="52">
        <v>0.0</v>
      </c>
      <c r="P33" s="52">
        <v>0.0</v>
      </c>
      <c r="Q33" s="52">
        <v>1.05</v>
      </c>
      <c r="R33" s="52">
        <v>23.79</v>
      </c>
      <c r="S33" s="52">
        <f t="shared" si="3"/>
        <v>0</v>
      </c>
      <c r="T33" s="52">
        <f t="shared" si="4"/>
        <v>0</v>
      </c>
      <c r="U33" s="52">
        <f t="shared" si="5"/>
        <v>0</v>
      </c>
      <c r="V33" s="52">
        <f t="shared" si="6"/>
        <v>0</v>
      </c>
      <c r="W33" s="52">
        <f t="shared" si="7"/>
        <v>0.00105</v>
      </c>
      <c r="X33" s="52">
        <f t="shared" si="8"/>
        <v>0.02379</v>
      </c>
    </row>
    <row r="34" ht="15.0" customHeight="1">
      <c r="A34" s="51">
        <v>11.0</v>
      </c>
      <c r="B34" s="51" t="s">
        <v>266</v>
      </c>
      <c r="C34" s="51">
        <v>132.0</v>
      </c>
      <c r="D34" s="51" t="s">
        <v>28</v>
      </c>
      <c r="E34" s="51" t="s">
        <v>32</v>
      </c>
      <c r="F34" s="51" t="s">
        <v>314</v>
      </c>
      <c r="G34" s="51" t="s">
        <v>300</v>
      </c>
      <c r="H34" s="52">
        <v>39.99382976735496</v>
      </c>
      <c r="I34" s="52">
        <v>40.0</v>
      </c>
      <c r="J34" s="52">
        <v>21.43</v>
      </c>
      <c r="K34" s="52">
        <f t="shared" si="13"/>
        <v>73.47443286</v>
      </c>
      <c r="L34" s="52">
        <f t="shared" si="2"/>
        <v>220.4232986</v>
      </c>
      <c r="M34" s="52">
        <v>13.3</v>
      </c>
      <c r="N34" s="52">
        <v>64.63</v>
      </c>
      <c r="O34" s="52">
        <v>57.76</v>
      </c>
      <c r="P34" s="52">
        <v>2.61</v>
      </c>
      <c r="Q34" s="52">
        <v>0.49</v>
      </c>
      <c r="R34" s="52">
        <v>0.27</v>
      </c>
      <c r="S34" s="52">
        <f t="shared" si="3"/>
        <v>5.32</v>
      </c>
      <c r="T34" s="52">
        <f t="shared" si="4"/>
        <v>25.852</v>
      </c>
      <c r="U34" s="52">
        <f t="shared" si="5"/>
        <v>23.104</v>
      </c>
      <c r="V34" s="52">
        <f t="shared" si="6"/>
        <v>1.044</v>
      </c>
      <c r="W34" s="52">
        <f t="shared" si="7"/>
        <v>0.196</v>
      </c>
      <c r="X34" s="52">
        <f t="shared" si="8"/>
        <v>0.108</v>
      </c>
    </row>
    <row r="35" ht="15.0" customHeight="1">
      <c r="A35" s="51">
        <v>11.0</v>
      </c>
      <c r="B35" s="51" t="s">
        <v>266</v>
      </c>
      <c r="C35" s="51">
        <v>172.0</v>
      </c>
      <c r="D35" s="51" t="s">
        <v>16</v>
      </c>
      <c r="E35" s="51" t="s">
        <v>34</v>
      </c>
      <c r="F35" s="51" t="s">
        <v>299</v>
      </c>
      <c r="G35" s="51" t="s">
        <v>300</v>
      </c>
      <c r="H35" s="52">
        <v>10.000000000000002</v>
      </c>
      <c r="I35" s="52">
        <v>22.741210701798327</v>
      </c>
      <c r="J35" s="52">
        <v>88.98</v>
      </c>
      <c r="K35" s="52">
        <f t="shared" si="13"/>
        <v>10.06050087</v>
      </c>
      <c r="L35" s="52">
        <f t="shared" si="2"/>
        <v>30.1815026</v>
      </c>
      <c r="M35" s="52">
        <v>13.73</v>
      </c>
      <c r="N35" s="52">
        <v>83.51</v>
      </c>
      <c r="O35" s="52">
        <v>24.43</v>
      </c>
      <c r="P35" s="52">
        <v>15.84</v>
      </c>
      <c r="Q35" s="52">
        <v>0.11</v>
      </c>
      <c r="R35" s="52">
        <v>1.72</v>
      </c>
      <c r="S35" s="52">
        <f t="shared" si="3"/>
        <v>3.122368229</v>
      </c>
      <c r="T35" s="52">
        <f t="shared" si="4"/>
        <v>18.99118506</v>
      </c>
      <c r="U35" s="52">
        <f t="shared" si="5"/>
        <v>5.555677774</v>
      </c>
      <c r="V35" s="52">
        <f t="shared" si="6"/>
        <v>3.602207775</v>
      </c>
      <c r="W35" s="52">
        <f t="shared" si="7"/>
        <v>0.02501533177</v>
      </c>
      <c r="X35" s="52">
        <f t="shared" si="8"/>
        <v>0.3911488241</v>
      </c>
    </row>
    <row r="36" ht="15.0" customHeight="1">
      <c r="A36" s="51">
        <v>14.0</v>
      </c>
      <c r="B36" s="51" t="s">
        <v>259</v>
      </c>
      <c r="C36" s="51">
        <v>168.0</v>
      </c>
      <c r="D36" s="51" t="s">
        <v>18</v>
      </c>
      <c r="E36" s="51" t="s">
        <v>20</v>
      </c>
      <c r="F36" s="51" t="s">
        <v>314</v>
      </c>
      <c r="G36" s="51" t="s">
        <v>300</v>
      </c>
      <c r="H36" s="52">
        <v>40.0</v>
      </c>
      <c r="I36" s="52">
        <v>40.0</v>
      </c>
      <c r="J36" s="52">
        <v>31.59</v>
      </c>
      <c r="K36" s="52">
        <f t="shared" ref="K36:K41" si="14">IF(J36&gt;0,(I36/J36)/SUMPRODUCT($I$36:$I$41/$J$36:$J$41)*100,"")</f>
        <v>56.81137333</v>
      </c>
      <c r="L36" s="52">
        <f t="shared" si="2"/>
        <v>170.43412</v>
      </c>
      <c r="M36" s="52">
        <v>7.27</v>
      </c>
      <c r="N36" s="52">
        <v>63.13</v>
      </c>
      <c r="O36" s="52">
        <v>55.27</v>
      </c>
      <c r="P36" s="52">
        <v>3.13</v>
      </c>
      <c r="Q36" s="52">
        <v>0.3</v>
      </c>
      <c r="R36" s="52">
        <v>0.19</v>
      </c>
      <c r="S36" s="52">
        <f t="shared" si="3"/>
        <v>2.908</v>
      </c>
      <c r="T36" s="52">
        <f t="shared" si="4"/>
        <v>25.252</v>
      </c>
      <c r="U36" s="52">
        <f t="shared" si="5"/>
        <v>22.108</v>
      </c>
      <c r="V36" s="52">
        <f t="shared" si="6"/>
        <v>1.252</v>
      </c>
      <c r="W36" s="52">
        <f t="shared" si="7"/>
        <v>0.12</v>
      </c>
      <c r="X36" s="52">
        <f t="shared" si="8"/>
        <v>0.076</v>
      </c>
    </row>
    <row r="37" ht="15.0" customHeight="1">
      <c r="A37" s="51">
        <v>14.0</v>
      </c>
      <c r="B37" s="51" t="s">
        <v>259</v>
      </c>
      <c r="C37" s="51">
        <v>188.0</v>
      </c>
      <c r="D37" s="51" t="s">
        <v>16</v>
      </c>
      <c r="E37" s="51" t="s">
        <v>19</v>
      </c>
      <c r="F37" s="51" t="s">
        <v>299</v>
      </c>
      <c r="G37" s="51" t="s">
        <v>300</v>
      </c>
      <c r="H37" s="52">
        <v>32.55391651228085</v>
      </c>
      <c r="I37" s="52">
        <v>31.924457631722795</v>
      </c>
      <c r="J37" s="52">
        <v>87.78</v>
      </c>
      <c r="K37" s="52">
        <f t="shared" si="14"/>
        <v>16.31747191</v>
      </c>
      <c r="L37" s="52">
        <f t="shared" si="2"/>
        <v>48.95241572</v>
      </c>
      <c r="M37" s="52">
        <v>9.1</v>
      </c>
      <c r="N37" s="52">
        <v>86.03</v>
      </c>
      <c r="O37" s="52">
        <v>14.39</v>
      </c>
      <c r="P37" s="52">
        <v>4.18</v>
      </c>
      <c r="Q37" s="52">
        <v>0.03</v>
      </c>
      <c r="R37" s="52">
        <v>0.25</v>
      </c>
      <c r="S37" s="52">
        <f t="shared" si="3"/>
        <v>2.905125644</v>
      </c>
      <c r="T37" s="52">
        <f t="shared" si="4"/>
        <v>27.4646109</v>
      </c>
      <c r="U37" s="52">
        <f t="shared" si="5"/>
        <v>4.593929453</v>
      </c>
      <c r="V37" s="52">
        <f t="shared" si="6"/>
        <v>1.334442329</v>
      </c>
      <c r="W37" s="52">
        <f t="shared" si="7"/>
        <v>0.00957733729</v>
      </c>
      <c r="X37" s="52">
        <f t="shared" si="8"/>
        <v>0.07981114408</v>
      </c>
    </row>
    <row r="38" ht="15.0" customHeight="1">
      <c r="A38" s="51">
        <v>14.0</v>
      </c>
      <c r="B38" s="51" t="s">
        <v>259</v>
      </c>
      <c r="C38" s="51">
        <v>208.0</v>
      </c>
      <c r="D38" s="51" t="s">
        <v>22</v>
      </c>
      <c r="E38" s="51" t="s">
        <v>23</v>
      </c>
      <c r="F38" s="51" t="s">
        <v>299</v>
      </c>
      <c r="G38" s="51" t="s">
        <v>300</v>
      </c>
      <c r="H38" s="52">
        <v>15.666296002871299</v>
      </c>
      <c r="I38" s="52">
        <v>16.297668257551116</v>
      </c>
      <c r="J38" s="52">
        <v>88.48</v>
      </c>
      <c r="K38" s="52">
        <f t="shared" si="14"/>
        <v>8.264284926</v>
      </c>
      <c r="L38" s="52">
        <f t="shared" si="2"/>
        <v>24.79285478</v>
      </c>
      <c r="M38" s="52">
        <v>48.76</v>
      </c>
      <c r="N38" s="52">
        <v>80.73</v>
      </c>
      <c r="O38" s="52">
        <v>15.37</v>
      </c>
      <c r="P38" s="52">
        <v>1.75</v>
      </c>
      <c r="Q38" s="52">
        <v>0.33</v>
      </c>
      <c r="R38" s="52">
        <v>0.57</v>
      </c>
      <c r="S38" s="52">
        <f t="shared" si="3"/>
        <v>7.946743042</v>
      </c>
      <c r="T38" s="52">
        <f t="shared" si="4"/>
        <v>13.15710758</v>
      </c>
      <c r="U38" s="52">
        <f t="shared" si="5"/>
        <v>2.504951611</v>
      </c>
      <c r="V38" s="52">
        <f t="shared" si="6"/>
        <v>0.2852091945</v>
      </c>
      <c r="W38" s="52">
        <f t="shared" si="7"/>
        <v>0.05378230525</v>
      </c>
      <c r="X38" s="52">
        <f t="shared" si="8"/>
        <v>0.09289670907</v>
      </c>
    </row>
    <row r="39" ht="15.0" customHeight="1">
      <c r="A39" s="51">
        <v>14.0</v>
      </c>
      <c r="B39" s="51" t="s">
        <v>259</v>
      </c>
      <c r="C39" s="51">
        <v>211.0</v>
      </c>
      <c r="D39" s="51" t="s">
        <v>22</v>
      </c>
      <c r="E39" s="51" t="s">
        <v>25</v>
      </c>
      <c r="F39" s="51" t="s">
        <v>299</v>
      </c>
      <c r="G39" s="51" t="s">
        <v>300</v>
      </c>
      <c r="H39" s="52">
        <v>1.0</v>
      </c>
      <c r="I39" s="52">
        <v>1.0</v>
      </c>
      <c r="J39" s="52">
        <v>99.0</v>
      </c>
      <c r="K39" s="52">
        <f t="shared" si="14"/>
        <v>0.4531998191</v>
      </c>
      <c r="L39" s="52">
        <f t="shared" si="2"/>
        <v>1.359599457</v>
      </c>
      <c r="M39" s="52">
        <v>280.0</v>
      </c>
      <c r="N39" s="52">
        <v>0.0</v>
      </c>
      <c r="O39" s="52">
        <v>0.0</v>
      </c>
      <c r="P39" s="52">
        <v>0.0</v>
      </c>
      <c r="Q39" s="52">
        <v>0.0</v>
      </c>
      <c r="R39" s="52">
        <v>0.0</v>
      </c>
      <c r="S39" s="52">
        <f t="shared" si="3"/>
        <v>2.8</v>
      </c>
      <c r="T39" s="52">
        <f t="shared" si="4"/>
        <v>0</v>
      </c>
      <c r="U39" s="52">
        <f t="shared" si="5"/>
        <v>0</v>
      </c>
      <c r="V39" s="52">
        <f t="shared" si="6"/>
        <v>0</v>
      </c>
      <c r="W39" s="52">
        <f t="shared" si="7"/>
        <v>0</v>
      </c>
      <c r="X39" s="52">
        <f t="shared" si="8"/>
        <v>0</v>
      </c>
    </row>
    <row r="40" ht="15.0" customHeight="1">
      <c r="A40" s="51">
        <v>14.0</v>
      </c>
      <c r="B40" s="51" t="s">
        <v>259</v>
      </c>
      <c r="C40" s="51">
        <v>213.0</v>
      </c>
      <c r="D40" s="51" t="s">
        <v>24</v>
      </c>
      <c r="E40" s="51" t="s">
        <v>26</v>
      </c>
      <c r="F40" s="51" t="s">
        <v>299</v>
      </c>
      <c r="G40" s="51" t="s">
        <v>300</v>
      </c>
      <c r="H40" s="52">
        <v>0.7797874848478502</v>
      </c>
      <c r="I40" s="52">
        <v>0.7778741107260843</v>
      </c>
      <c r="J40" s="52">
        <v>99.89</v>
      </c>
      <c r="K40" s="52">
        <f t="shared" si="14"/>
        <v>0.3493914127</v>
      </c>
      <c r="L40" s="52">
        <f t="shared" si="2"/>
        <v>1.048174238</v>
      </c>
      <c r="M40" s="52">
        <v>0.0</v>
      </c>
      <c r="N40" s="52">
        <v>0.0</v>
      </c>
      <c r="O40" s="52">
        <v>0.0</v>
      </c>
      <c r="P40" s="52">
        <v>0.0</v>
      </c>
      <c r="Q40" s="52">
        <v>37.35</v>
      </c>
      <c r="R40" s="52">
        <v>0.01</v>
      </c>
      <c r="S40" s="52">
        <f t="shared" si="3"/>
        <v>0</v>
      </c>
      <c r="T40" s="52">
        <f t="shared" si="4"/>
        <v>0</v>
      </c>
      <c r="U40" s="52">
        <f t="shared" si="5"/>
        <v>0</v>
      </c>
      <c r="V40" s="52">
        <f t="shared" si="6"/>
        <v>0</v>
      </c>
      <c r="W40" s="52">
        <f t="shared" si="7"/>
        <v>0.2905359804</v>
      </c>
      <c r="X40" s="52">
        <f t="shared" si="8"/>
        <v>0.00007778741107</v>
      </c>
    </row>
    <row r="41" ht="15.0" customHeight="1">
      <c r="A41" s="51">
        <v>14.0</v>
      </c>
      <c r="B41" s="51" t="s">
        <v>259</v>
      </c>
      <c r="C41" s="51">
        <v>130.0</v>
      </c>
      <c r="D41" s="51" t="s">
        <v>28</v>
      </c>
      <c r="E41" s="51" t="s">
        <v>29</v>
      </c>
      <c r="F41" s="51" t="s">
        <v>314</v>
      </c>
      <c r="G41" s="51" t="s">
        <v>316</v>
      </c>
      <c r="H41" s="52">
        <v>10.0</v>
      </c>
      <c r="I41" s="52">
        <v>10.0</v>
      </c>
      <c r="J41" s="52">
        <v>25.2</v>
      </c>
      <c r="K41" s="52">
        <f t="shared" si="14"/>
        <v>17.80427861</v>
      </c>
      <c r="L41" s="52">
        <f t="shared" si="2"/>
        <v>53.41283582</v>
      </c>
      <c r="M41" s="52">
        <v>21.17</v>
      </c>
      <c r="N41" s="52">
        <v>70.6</v>
      </c>
      <c r="O41" s="52">
        <v>37.49</v>
      </c>
      <c r="P41" s="52">
        <v>3.7</v>
      </c>
      <c r="Q41" s="52">
        <v>1.49</v>
      </c>
      <c r="R41" s="52">
        <v>0.27</v>
      </c>
      <c r="S41" s="52">
        <f t="shared" si="3"/>
        <v>2.117</v>
      </c>
      <c r="T41" s="52">
        <f t="shared" si="4"/>
        <v>7.06</v>
      </c>
      <c r="U41" s="52">
        <f t="shared" si="5"/>
        <v>3.749</v>
      </c>
      <c r="V41" s="52">
        <f t="shared" si="6"/>
        <v>0.37</v>
      </c>
      <c r="W41" s="52">
        <f t="shared" si="7"/>
        <v>0.149</v>
      </c>
      <c r="X41" s="52">
        <f t="shared" si="8"/>
        <v>0.027</v>
      </c>
    </row>
    <row r="42" ht="15.0" customHeight="1">
      <c r="A42" s="51">
        <v>14.0</v>
      </c>
      <c r="B42" s="51" t="s">
        <v>266</v>
      </c>
      <c r="C42" s="51">
        <v>168.0</v>
      </c>
      <c r="D42" s="51" t="s">
        <v>18</v>
      </c>
      <c r="E42" s="51" t="s">
        <v>20</v>
      </c>
      <c r="F42" s="51" t="s">
        <v>314</v>
      </c>
      <c r="G42" s="51" t="s">
        <v>300</v>
      </c>
      <c r="H42" s="52">
        <v>40.0</v>
      </c>
      <c r="I42" s="52">
        <v>42.25</v>
      </c>
      <c r="J42" s="52">
        <v>31.59</v>
      </c>
      <c r="K42" s="52">
        <f t="shared" ref="K42:K47" si="15">IF(J42&gt;0,(I42/J42)/SUMPRODUCT($I$42:$I$47/$J$42:$J$47)*100,"")</f>
        <v>58.80373743</v>
      </c>
      <c r="L42" s="52">
        <f t="shared" si="2"/>
        <v>176.4112123</v>
      </c>
      <c r="M42" s="52">
        <v>7.27</v>
      </c>
      <c r="N42" s="52">
        <v>63.13</v>
      </c>
      <c r="O42" s="52">
        <v>55.27</v>
      </c>
      <c r="P42" s="52">
        <v>3.13</v>
      </c>
      <c r="Q42" s="52">
        <v>0.3</v>
      </c>
      <c r="R42" s="52">
        <v>0.19</v>
      </c>
      <c r="S42" s="52">
        <f t="shared" si="3"/>
        <v>3.071575</v>
      </c>
      <c r="T42" s="52">
        <f t="shared" si="4"/>
        <v>26.672425</v>
      </c>
      <c r="U42" s="52">
        <f t="shared" si="5"/>
        <v>23.351575</v>
      </c>
      <c r="V42" s="52">
        <f t="shared" si="6"/>
        <v>1.322425</v>
      </c>
      <c r="W42" s="52">
        <f t="shared" si="7"/>
        <v>0.12675</v>
      </c>
      <c r="X42" s="52">
        <f t="shared" si="8"/>
        <v>0.080275</v>
      </c>
    </row>
    <row r="43" ht="15.0" customHeight="1">
      <c r="A43" s="51">
        <v>14.0</v>
      </c>
      <c r="B43" s="51" t="s">
        <v>266</v>
      </c>
      <c r="C43" s="51">
        <v>188.0</v>
      </c>
      <c r="D43" s="51" t="s">
        <v>16</v>
      </c>
      <c r="E43" s="51" t="s">
        <v>19</v>
      </c>
      <c r="F43" s="51" t="s">
        <v>299</v>
      </c>
      <c r="G43" s="51" t="s">
        <v>300</v>
      </c>
      <c r="H43" s="52">
        <v>32.55391651228085</v>
      </c>
      <c r="I43" s="52">
        <v>29.591638143027723</v>
      </c>
      <c r="J43" s="52">
        <v>87.78</v>
      </c>
      <c r="K43" s="52">
        <f t="shared" si="15"/>
        <v>14.82181108</v>
      </c>
      <c r="L43" s="52">
        <f t="shared" si="2"/>
        <v>44.46543325</v>
      </c>
      <c r="M43" s="52">
        <v>9.1</v>
      </c>
      <c r="N43" s="52">
        <v>86.03</v>
      </c>
      <c r="O43" s="52">
        <v>14.39</v>
      </c>
      <c r="P43" s="52">
        <v>4.18</v>
      </c>
      <c r="Q43" s="52">
        <v>0.03</v>
      </c>
      <c r="R43" s="52">
        <v>0.25</v>
      </c>
      <c r="S43" s="52">
        <f t="shared" si="3"/>
        <v>2.692839071</v>
      </c>
      <c r="T43" s="52">
        <f t="shared" si="4"/>
        <v>25.45768629</v>
      </c>
      <c r="U43" s="52">
        <f t="shared" si="5"/>
        <v>4.258236729</v>
      </c>
      <c r="V43" s="52">
        <f t="shared" si="6"/>
        <v>1.236930474</v>
      </c>
      <c r="W43" s="52">
        <f t="shared" si="7"/>
        <v>0.008877491443</v>
      </c>
      <c r="X43" s="52">
        <f t="shared" si="8"/>
        <v>0.07397909536</v>
      </c>
    </row>
    <row r="44" ht="15.0" customHeight="1">
      <c r="A44" s="51">
        <v>14.0</v>
      </c>
      <c r="B44" s="51" t="s">
        <v>266</v>
      </c>
      <c r="C44" s="51">
        <v>208.0</v>
      </c>
      <c r="D44" s="51" t="s">
        <v>22</v>
      </c>
      <c r="E44" s="51" t="s">
        <v>23</v>
      </c>
      <c r="F44" s="51" t="s">
        <v>299</v>
      </c>
      <c r="G44" s="51" t="s">
        <v>300</v>
      </c>
      <c r="H44" s="52">
        <v>15.666296002871299</v>
      </c>
      <c r="I44" s="52">
        <v>16.397568941454423</v>
      </c>
      <c r="J44" s="52">
        <v>88.48</v>
      </c>
      <c r="K44" s="52">
        <f t="shared" si="15"/>
        <v>8.148209635</v>
      </c>
      <c r="L44" s="52">
        <f t="shared" si="2"/>
        <v>24.44462891</v>
      </c>
      <c r="M44" s="52">
        <v>48.76</v>
      </c>
      <c r="N44" s="52">
        <v>80.73</v>
      </c>
      <c r="O44" s="52">
        <v>15.37</v>
      </c>
      <c r="P44" s="52">
        <v>1.75</v>
      </c>
      <c r="Q44" s="52">
        <v>0.33</v>
      </c>
      <c r="R44" s="52">
        <v>0.57</v>
      </c>
      <c r="S44" s="52">
        <f t="shared" si="3"/>
        <v>7.995454616</v>
      </c>
      <c r="T44" s="52">
        <f t="shared" si="4"/>
        <v>13.23775741</v>
      </c>
      <c r="U44" s="52">
        <f t="shared" si="5"/>
        <v>2.520306346</v>
      </c>
      <c r="V44" s="52">
        <f t="shared" si="6"/>
        <v>0.2869574565</v>
      </c>
      <c r="W44" s="52">
        <f t="shared" si="7"/>
        <v>0.05411197751</v>
      </c>
      <c r="X44" s="52">
        <f t="shared" si="8"/>
        <v>0.09346614297</v>
      </c>
    </row>
    <row r="45" ht="15.0" customHeight="1">
      <c r="A45" s="51">
        <v>14.0</v>
      </c>
      <c r="B45" s="51" t="s">
        <v>266</v>
      </c>
      <c r="C45" s="51">
        <v>211.0</v>
      </c>
      <c r="D45" s="51" t="s">
        <v>22</v>
      </c>
      <c r="E45" s="51" t="s">
        <v>25</v>
      </c>
      <c r="F45" s="51" t="s">
        <v>299</v>
      </c>
      <c r="G45" s="51" t="s">
        <v>300</v>
      </c>
      <c r="H45" s="52">
        <v>1.0</v>
      </c>
      <c r="I45" s="52">
        <v>1.0</v>
      </c>
      <c r="J45" s="52">
        <v>99.0</v>
      </c>
      <c r="K45" s="52">
        <f t="shared" si="15"/>
        <v>0.4441121429</v>
      </c>
      <c r="L45" s="52">
        <f t="shared" si="2"/>
        <v>1.332336429</v>
      </c>
      <c r="M45" s="52">
        <v>280.0</v>
      </c>
      <c r="N45" s="52">
        <v>0.0</v>
      </c>
      <c r="O45" s="52">
        <v>0.0</v>
      </c>
      <c r="P45" s="52">
        <v>0.0</v>
      </c>
      <c r="Q45" s="52">
        <v>0.0</v>
      </c>
      <c r="R45" s="52">
        <v>0.0</v>
      </c>
      <c r="S45" s="52">
        <f t="shared" si="3"/>
        <v>2.8</v>
      </c>
      <c r="T45" s="52">
        <f t="shared" si="4"/>
        <v>0</v>
      </c>
      <c r="U45" s="52">
        <f t="shared" si="5"/>
        <v>0</v>
      </c>
      <c r="V45" s="52">
        <f t="shared" si="6"/>
        <v>0</v>
      </c>
      <c r="W45" s="52">
        <f t="shared" si="7"/>
        <v>0</v>
      </c>
      <c r="X45" s="52">
        <f t="shared" si="8"/>
        <v>0</v>
      </c>
    </row>
    <row r="46" ht="15.0" customHeight="1">
      <c r="A46" s="51">
        <v>14.0</v>
      </c>
      <c r="B46" s="51" t="s">
        <v>266</v>
      </c>
      <c r="C46" s="51">
        <v>213.0</v>
      </c>
      <c r="D46" s="51" t="s">
        <v>24</v>
      </c>
      <c r="E46" s="51" t="s">
        <v>26</v>
      </c>
      <c r="F46" s="51" t="s">
        <v>299</v>
      </c>
      <c r="G46" s="51" t="s">
        <v>300</v>
      </c>
      <c r="H46" s="52">
        <v>0.7797874848478502</v>
      </c>
      <c r="I46" s="52">
        <v>0.7607929155178572</v>
      </c>
      <c r="J46" s="52">
        <v>99.89</v>
      </c>
      <c r="K46" s="52">
        <f t="shared" si="15"/>
        <v>0.3348669519</v>
      </c>
      <c r="L46" s="52">
        <f t="shared" si="2"/>
        <v>1.004600856</v>
      </c>
      <c r="M46" s="52">
        <v>0.0</v>
      </c>
      <c r="N46" s="52">
        <v>0.0</v>
      </c>
      <c r="O46" s="52">
        <v>0.0</v>
      </c>
      <c r="P46" s="52">
        <v>0.0</v>
      </c>
      <c r="Q46" s="52">
        <v>37.35</v>
      </c>
      <c r="R46" s="52">
        <v>0.01</v>
      </c>
      <c r="S46" s="52">
        <f t="shared" si="3"/>
        <v>0</v>
      </c>
      <c r="T46" s="52">
        <f t="shared" si="4"/>
        <v>0</v>
      </c>
      <c r="U46" s="52">
        <f t="shared" si="5"/>
        <v>0</v>
      </c>
      <c r="V46" s="52">
        <f t="shared" si="6"/>
        <v>0</v>
      </c>
      <c r="W46" s="52">
        <f t="shared" si="7"/>
        <v>0.2841561539</v>
      </c>
      <c r="X46" s="52">
        <f t="shared" si="8"/>
        <v>0.00007607929155</v>
      </c>
    </row>
    <row r="47" ht="15.0" customHeight="1">
      <c r="A47" s="51">
        <v>14.0</v>
      </c>
      <c r="B47" s="51" t="s">
        <v>266</v>
      </c>
      <c r="C47" s="51">
        <v>130.0</v>
      </c>
      <c r="D47" s="51" t="s">
        <v>28</v>
      </c>
      <c r="E47" s="51" t="s">
        <v>29</v>
      </c>
      <c r="F47" s="51" t="s">
        <v>314</v>
      </c>
      <c r="G47" s="51" t="s">
        <v>316</v>
      </c>
      <c r="H47" s="52">
        <v>10.0</v>
      </c>
      <c r="I47" s="52">
        <v>10.0</v>
      </c>
      <c r="J47" s="52">
        <v>25.2</v>
      </c>
      <c r="K47" s="52">
        <f t="shared" si="15"/>
        <v>17.44726275</v>
      </c>
      <c r="L47" s="52">
        <f t="shared" si="2"/>
        <v>52.34178826</v>
      </c>
      <c r="M47" s="52">
        <v>21.17</v>
      </c>
      <c r="N47" s="52">
        <v>70.6</v>
      </c>
      <c r="O47" s="52">
        <v>37.49</v>
      </c>
      <c r="P47" s="52">
        <v>3.7</v>
      </c>
      <c r="Q47" s="52">
        <v>1.49</v>
      </c>
      <c r="R47" s="52">
        <v>0.27</v>
      </c>
      <c r="S47" s="52">
        <f t="shared" si="3"/>
        <v>2.117</v>
      </c>
      <c r="T47" s="52">
        <f t="shared" si="4"/>
        <v>7.06</v>
      </c>
      <c r="U47" s="52">
        <f t="shared" si="5"/>
        <v>3.749</v>
      </c>
      <c r="V47" s="52">
        <f t="shared" si="6"/>
        <v>0.37</v>
      </c>
      <c r="W47" s="52">
        <f t="shared" si="7"/>
        <v>0.149</v>
      </c>
      <c r="X47" s="52">
        <f t="shared" si="8"/>
        <v>0.027</v>
      </c>
    </row>
    <row r="48" ht="15.0" customHeight="1">
      <c r="A48" s="51">
        <v>16.0</v>
      </c>
      <c r="B48" s="51" t="s">
        <v>61</v>
      </c>
      <c r="C48" s="51">
        <v>188.0</v>
      </c>
      <c r="D48" s="51" t="s">
        <v>16</v>
      </c>
      <c r="E48" s="51" t="s">
        <v>19</v>
      </c>
      <c r="F48" s="51" t="s">
        <v>299</v>
      </c>
      <c r="G48" s="51" t="s">
        <v>316</v>
      </c>
      <c r="H48" s="52">
        <v>93.131</v>
      </c>
      <c r="I48" s="52">
        <v>93.131</v>
      </c>
      <c r="J48" s="52">
        <v>87.78</v>
      </c>
      <c r="K48" s="52">
        <f t="shared" ref="K48:K51" si="16">IF(J48&gt;0,(I48/J48)/SUMPRODUCT($I$48:$I$51/$J$48:$J$51)*100,"")</f>
        <v>93.39354244</v>
      </c>
      <c r="L48" s="52">
        <f t="shared" si="2"/>
        <v>280.1806273</v>
      </c>
      <c r="M48" s="52">
        <v>9.1</v>
      </c>
      <c r="N48" s="52">
        <v>86.03</v>
      </c>
      <c r="O48" s="52">
        <v>14.39</v>
      </c>
      <c r="P48" s="52">
        <v>4.18</v>
      </c>
      <c r="Q48" s="52">
        <v>0.03</v>
      </c>
      <c r="R48" s="52">
        <v>0.25</v>
      </c>
      <c r="S48" s="52">
        <f t="shared" si="3"/>
        <v>8.474921</v>
      </c>
      <c r="T48" s="52">
        <f t="shared" si="4"/>
        <v>80.1205993</v>
      </c>
      <c r="U48" s="52">
        <f t="shared" si="5"/>
        <v>13.4015509</v>
      </c>
      <c r="V48" s="52">
        <f t="shared" si="6"/>
        <v>3.8928758</v>
      </c>
      <c r="W48" s="52">
        <f t="shared" si="7"/>
        <v>0.0279393</v>
      </c>
      <c r="X48" s="52">
        <f t="shared" si="8"/>
        <v>0.2328275</v>
      </c>
    </row>
    <row r="49" ht="15.0" customHeight="1">
      <c r="A49" s="51">
        <v>16.0</v>
      </c>
      <c r="B49" s="51" t="s">
        <v>61</v>
      </c>
      <c r="C49" s="51">
        <v>226.0</v>
      </c>
      <c r="D49" s="51" t="s">
        <v>22</v>
      </c>
      <c r="E49" s="51" t="s">
        <v>66</v>
      </c>
      <c r="F49" s="51" t="s">
        <v>299</v>
      </c>
      <c r="G49" s="51" t="s">
        <v>316</v>
      </c>
      <c r="H49" s="52">
        <v>3.8309999999999995</v>
      </c>
      <c r="I49" s="52">
        <v>3.8309999999999995</v>
      </c>
      <c r="J49" s="52">
        <v>86.0</v>
      </c>
      <c r="K49" s="52">
        <f t="shared" si="16"/>
        <v>3.921316164</v>
      </c>
      <c r="L49" s="52">
        <f t="shared" si="2"/>
        <v>11.76394849</v>
      </c>
      <c r="M49" s="52">
        <v>30.0</v>
      </c>
      <c r="N49" s="52">
        <v>90.0</v>
      </c>
      <c r="O49" s="52">
        <v>33.7</v>
      </c>
      <c r="P49" s="52">
        <v>3.0</v>
      </c>
      <c r="Q49" s="52">
        <v>0.06</v>
      </c>
      <c r="R49" s="52">
        <v>0.8</v>
      </c>
      <c r="S49" s="52">
        <f t="shared" si="3"/>
        <v>1.1493</v>
      </c>
      <c r="T49" s="52">
        <f t="shared" si="4"/>
        <v>3.4479</v>
      </c>
      <c r="U49" s="52">
        <f t="shared" si="5"/>
        <v>1.291047</v>
      </c>
      <c r="V49" s="52">
        <f t="shared" si="6"/>
        <v>0.11493</v>
      </c>
      <c r="W49" s="52">
        <f t="shared" si="7"/>
        <v>0.0022986</v>
      </c>
      <c r="X49" s="52">
        <f t="shared" si="8"/>
        <v>0.030648</v>
      </c>
    </row>
    <row r="50" ht="15.0" customHeight="1">
      <c r="A50" s="51">
        <v>16.0</v>
      </c>
      <c r="B50" s="51" t="s">
        <v>61</v>
      </c>
      <c r="C50" s="51">
        <v>213.0</v>
      </c>
      <c r="D50" s="51" t="s">
        <v>24</v>
      </c>
      <c r="E50" s="51" t="s">
        <v>26</v>
      </c>
      <c r="F50" s="51" t="s">
        <v>299</v>
      </c>
      <c r="G50" s="51" t="s">
        <v>300</v>
      </c>
      <c r="H50" s="52">
        <v>2.0380000000000074</v>
      </c>
      <c r="I50" s="52">
        <v>2.0380000000000074</v>
      </c>
      <c r="J50" s="52">
        <v>99.89</v>
      </c>
      <c r="K50" s="52">
        <f t="shared" si="16"/>
        <v>1.795975159</v>
      </c>
      <c r="L50" s="52">
        <f t="shared" si="2"/>
        <v>5.387925477</v>
      </c>
      <c r="M50" s="52">
        <v>0.0</v>
      </c>
      <c r="N50" s="52">
        <v>0.0</v>
      </c>
      <c r="O50" s="52">
        <v>0.0</v>
      </c>
      <c r="P50" s="52">
        <v>0.0</v>
      </c>
      <c r="Q50" s="52">
        <v>37.35</v>
      </c>
      <c r="R50" s="52">
        <v>0.01</v>
      </c>
      <c r="S50" s="52">
        <f t="shared" si="3"/>
        <v>0</v>
      </c>
      <c r="T50" s="52">
        <f t="shared" si="4"/>
        <v>0</v>
      </c>
      <c r="U50" s="52">
        <f t="shared" si="5"/>
        <v>0</v>
      </c>
      <c r="V50" s="52">
        <f t="shared" si="6"/>
        <v>0</v>
      </c>
      <c r="W50" s="52">
        <f t="shared" si="7"/>
        <v>0.761193</v>
      </c>
      <c r="X50" s="52">
        <f t="shared" si="8"/>
        <v>0.0002038</v>
      </c>
    </row>
    <row r="51" ht="15.0" customHeight="1">
      <c r="A51" s="51">
        <v>16.0</v>
      </c>
      <c r="B51" s="51" t="s">
        <v>61</v>
      </c>
      <c r="C51" s="51">
        <v>227.0</v>
      </c>
      <c r="D51" s="51" t="s">
        <v>24</v>
      </c>
      <c r="E51" s="51" t="s">
        <v>70</v>
      </c>
      <c r="F51" s="51" t="s">
        <v>299</v>
      </c>
      <c r="G51" s="51" t="s">
        <v>300</v>
      </c>
      <c r="H51" s="52">
        <v>1.0</v>
      </c>
      <c r="I51" s="52">
        <v>1.0</v>
      </c>
      <c r="J51" s="52">
        <v>99.0</v>
      </c>
      <c r="K51" s="52">
        <f t="shared" si="16"/>
        <v>0.8891662385</v>
      </c>
      <c r="L51" s="52">
        <f t="shared" si="2"/>
        <v>2.667498716</v>
      </c>
      <c r="M51" s="52">
        <v>0.0</v>
      </c>
      <c r="N51" s="52">
        <v>0.0</v>
      </c>
      <c r="O51" s="52">
        <v>0.0</v>
      </c>
      <c r="P51" s="52">
        <v>0.0</v>
      </c>
      <c r="Q51" s="52">
        <v>0.0</v>
      </c>
      <c r="R51" s="52">
        <v>0.0</v>
      </c>
      <c r="S51" s="52">
        <f t="shared" si="3"/>
        <v>0</v>
      </c>
      <c r="T51" s="52">
        <f t="shared" si="4"/>
        <v>0</v>
      </c>
      <c r="U51" s="52">
        <f t="shared" si="5"/>
        <v>0</v>
      </c>
      <c r="V51" s="52">
        <f t="shared" si="6"/>
        <v>0</v>
      </c>
      <c r="W51" s="52">
        <f t="shared" si="7"/>
        <v>0</v>
      </c>
      <c r="X51" s="52">
        <f t="shared" si="8"/>
        <v>0</v>
      </c>
    </row>
    <row r="52" ht="15.0" customHeight="1">
      <c r="A52" s="51">
        <v>17.0</v>
      </c>
      <c r="B52" s="51" t="s">
        <v>259</v>
      </c>
      <c r="C52" s="51">
        <v>168.0</v>
      </c>
      <c r="D52" s="51" t="s">
        <v>18</v>
      </c>
      <c r="E52" s="51" t="s">
        <v>20</v>
      </c>
      <c r="F52" s="51" t="s">
        <v>314</v>
      </c>
      <c r="G52" s="51" t="s">
        <v>300</v>
      </c>
      <c r="H52" s="52">
        <v>50.01279583590208</v>
      </c>
      <c r="I52" s="52">
        <v>50.0</v>
      </c>
      <c r="J52" s="52">
        <v>31.59</v>
      </c>
      <c r="K52" s="52">
        <f t="shared" ref="K52:K56" si="17">IF(J52&gt;0,(I52/J52)/SUMPRODUCT($I$52:$I$56/$J$52:$J$56)*100,"")</f>
        <v>73.69321808</v>
      </c>
      <c r="L52" s="52">
        <f t="shared" si="2"/>
        <v>221.0796543</v>
      </c>
      <c r="M52" s="52">
        <v>7.27</v>
      </c>
      <c r="N52" s="52">
        <v>63.13</v>
      </c>
      <c r="O52" s="52">
        <v>55.27</v>
      </c>
      <c r="P52" s="52">
        <v>3.13</v>
      </c>
      <c r="Q52" s="52">
        <v>0.3</v>
      </c>
      <c r="R52" s="52">
        <v>0.19</v>
      </c>
      <c r="S52" s="52">
        <f t="shared" si="3"/>
        <v>3.635</v>
      </c>
      <c r="T52" s="52">
        <f t="shared" si="4"/>
        <v>31.565</v>
      </c>
      <c r="U52" s="52">
        <f t="shared" si="5"/>
        <v>27.635</v>
      </c>
      <c r="V52" s="52">
        <f t="shared" si="6"/>
        <v>1.565</v>
      </c>
      <c r="W52" s="52">
        <f t="shared" si="7"/>
        <v>0.15</v>
      </c>
      <c r="X52" s="52">
        <f t="shared" si="8"/>
        <v>0.095</v>
      </c>
    </row>
    <row r="53" ht="15.0" customHeight="1">
      <c r="A53" s="51">
        <v>17.0</v>
      </c>
      <c r="B53" s="51" t="s">
        <v>259</v>
      </c>
      <c r="C53" s="51">
        <v>188.0</v>
      </c>
      <c r="D53" s="51" t="s">
        <v>16</v>
      </c>
      <c r="E53" s="51" t="s">
        <v>19</v>
      </c>
      <c r="F53" s="51" t="s">
        <v>299</v>
      </c>
      <c r="G53" s="51" t="s">
        <v>316</v>
      </c>
      <c r="H53" s="52">
        <v>28.01</v>
      </c>
      <c r="I53" s="52">
        <v>28.01</v>
      </c>
      <c r="J53" s="52">
        <v>87.78</v>
      </c>
      <c r="K53" s="52">
        <f t="shared" si="17"/>
        <v>14.85677944</v>
      </c>
      <c r="L53" s="52">
        <f t="shared" si="2"/>
        <v>44.57033831</v>
      </c>
      <c r="M53" s="52">
        <v>9.1</v>
      </c>
      <c r="N53" s="52">
        <v>86.03</v>
      </c>
      <c r="O53" s="52">
        <v>14.39</v>
      </c>
      <c r="P53" s="52">
        <v>4.18</v>
      </c>
      <c r="Q53" s="52">
        <v>0.03</v>
      </c>
      <c r="R53" s="52">
        <v>0.25</v>
      </c>
      <c r="S53" s="52">
        <f t="shared" si="3"/>
        <v>2.54891</v>
      </c>
      <c r="T53" s="52">
        <f t="shared" si="4"/>
        <v>24.097003</v>
      </c>
      <c r="U53" s="52">
        <f t="shared" si="5"/>
        <v>4.030639</v>
      </c>
      <c r="V53" s="52">
        <f t="shared" si="6"/>
        <v>1.170818</v>
      </c>
      <c r="W53" s="52">
        <f t="shared" si="7"/>
        <v>0.008403</v>
      </c>
      <c r="X53" s="52">
        <f t="shared" si="8"/>
        <v>0.070025</v>
      </c>
    </row>
    <row r="54" ht="15.0" customHeight="1">
      <c r="A54" s="51">
        <v>17.0</v>
      </c>
      <c r="B54" s="51" t="s">
        <v>259</v>
      </c>
      <c r="C54" s="51">
        <v>208.0</v>
      </c>
      <c r="D54" s="51" t="s">
        <v>22</v>
      </c>
      <c r="E54" s="51" t="s">
        <v>23</v>
      </c>
      <c r="F54" s="51" t="s">
        <v>299</v>
      </c>
      <c r="G54" s="51" t="s">
        <v>316</v>
      </c>
      <c r="H54" s="52">
        <v>19.9</v>
      </c>
      <c r="I54" s="52">
        <v>19.9</v>
      </c>
      <c r="J54" s="52">
        <v>88.48</v>
      </c>
      <c r="K54" s="52">
        <f t="shared" si="17"/>
        <v>10.47164971</v>
      </c>
      <c r="L54" s="52">
        <f t="shared" si="2"/>
        <v>31.41494913</v>
      </c>
      <c r="M54" s="52">
        <v>48.76</v>
      </c>
      <c r="N54" s="52">
        <v>80.73</v>
      </c>
      <c r="O54" s="52">
        <v>15.37</v>
      </c>
      <c r="P54" s="52">
        <v>1.75</v>
      </c>
      <c r="Q54" s="52">
        <v>0.33</v>
      </c>
      <c r="R54" s="52">
        <v>0.57</v>
      </c>
      <c r="S54" s="52">
        <f t="shared" si="3"/>
        <v>9.70324</v>
      </c>
      <c r="T54" s="52">
        <f t="shared" si="4"/>
        <v>16.06527</v>
      </c>
      <c r="U54" s="52">
        <f t="shared" si="5"/>
        <v>3.05863</v>
      </c>
      <c r="V54" s="52">
        <f t="shared" si="6"/>
        <v>0.34825</v>
      </c>
      <c r="W54" s="52">
        <f t="shared" si="7"/>
        <v>0.06567</v>
      </c>
      <c r="X54" s="52">
        <f t="shared" si="8"/>
        <v>0.11343</v>
      </c>
    </row>
    <row r="55" ht="15.0" customHeight="1">
      <c r="A55" s="51">
        <v>17.0</v>
      </c>
      <c r="B55" s="51" t="s">
        <v>259</v>
      </c>
      <c r="C55" s="51">
        <v>211.0</v>
      </c>
      <c r="D55" s="51" t="s">
        <v>22</v>
      </c>
      <c r="E55" s="51" t="s">
        <v>25</v>
      </c>
      <c r="F55" s="51" t="s">
        <v>299</v>
      </c>
      <c r="G55" s="51" t="s">
        <v>300</v>
      </c>
      <c r="H55" s="52">
        <v>0.9872041640979214</v>
      </c>
      <c r="I55" s="52">
        <v>1.0</v>
      </c>
      <c r="J55" s="52">
        <v>99.0</v>
      </c>
      <c r="K55" s="52">
        <f t="shared" si="17"/>
        <v>0.470296719</v>
      </c>
      <c r="L55" s="52">
        <f t="shared" si="2"/>
        <v>1.410890157</v>
      </c>
      <c r="M55" s="52">
        <v>280.0</v>
      </c>
      <c r="N55" s="52">
        <v>0.0</v>
      </c>
      <c r="O55" s="52">
        <v>0.0</v>
      </c>
      <c r="P55" s="52">
        <v>0.0</v>
      </c>
      <c r="Q55" s="52">
        <v>0.0</v>
      </c>
      <c r="R55" s="52">
        <v>0.0</v>
      </c>
      <c r="S55" s="52">
        <f t="shared" si="3"/>
        <v>2.8</v>
      </c>
      <c r="T55" s="52">
        <f t="shared" si="4"/>
        <v>0</v>
      </c>
      <c r="U55" s="52">
        <f t="shared" si="5"/>
        <v>0</v>
      </c>
      <c r="V55" s="52">
        <f t="shared" si="6"/>
        <v>0</v>
      </c>
      <c r="W55" s="52">
        <f t="shared" si="7"/>
        <v>0</v>
      </c>
      <c r="X55" s="52">
        <f t="shared" si="8"/>
        <v>0</v>
      </c>
    </row>
    <row r="56" ht="15.0" customHeight="1">
      <c r="A56" s="51">
        <v>17.0</v>
      </c>
      <c r="B56" s="51" t="s">
        <v>259</v>
      </c>
      <c r="C56" s="51">
        <v>213.0</v>
      </c>
      <c r="D56" s="51" t="s">
        <v>24</v>
      </c>
      <c r="E56" s="51" t="s">
        <v>26</v>
      </c>
      <c r="F56" s="51" t="s">
        <v>299</v>
      </c>
      <c r="G56" s="51" t="s">
        <v>316</v>
      </c>
      <c r="H56" s="52">
        <v>1.09</v>
      </c>
      <c r="I56" s="52">
        <v>1.09</v>
      </c>
      <c r="J56" s="52">
        <v>99.89</v>
      </c>
      <c r="K56" s="52">
        <f t="shared" si="17"/>
        <v>0.5080560512</v>
      </c>
      <c r="L56" s="52">
        <f t="shared" si="2"/>
        <v>1.524168154</v>
      </c>
      <c r="M56" s="52">
        <v>0.0</v>
      </c>
      <c r="N56" s="52">
        <v>0.0</v>
      </c>
      <c r="O56" s="52">
        <v>0.0</v>
      </c>
      <c r="P56" s="52">
        <v>0.0</v>
      </c>
      <c r="Q56" s="52">
        <v>37.35</v>
      </c>
      <c r="R56" s="52">
        <v>0.01</v>
      </c>
      <c r="S56" s="52">
        <f t="shared" si="3"/>
        <v>0</v>
      </c>
      <c r="T56" s="52">
        <f t="shared" si="4"/>
        <v>0</v>
      </c>
      <c r="U56" s="52">
        <f t="shared" si="5"/>
        <v>0</v>
      </c>
      <c r="V56" s="52">
        <f t="shared" si="6"/>
        <v>0</v>
      </c>
      <c r="W56" s="52">
        <f t="shared" si="7"/>
        <v>0.407115</v>
      </c>
      <c r="X56" s="52">
        <f t="shared" si="8"/>
        <v>0.000109</v>
      </c>
    </row>
    <row r="57" ht="15.0" customHeight="1">
      <c r="A57" s="51">
        <v>17.0</v>
      </c>
      <c r="B57" s="51" t="s">
        <v>266</v>
      </c>
      <c r="C57" s="51">
        <v>168.0</v>
      </c>
      <c r="D57" s="51" t="s">
        <v>18</v>
      </c>
      <c r="E57" s="51" t="s">
        <v>20</v>
      </c>
      <c r="F57" s="51" t="s">
        <v>314</v>
      </c>
      <c r="G57" s="51" t="s">
        <v>300</v>
      </c>
      <c r="H57" s="52">
        <v>50.01279583590208</v>
      </c>
      <c r="I57" s="52">
        <v>50.00376977711704</v>
      </c>
      <c r="J57" s="52">
        <v>31.59</v>
      </c>
      <c r="K57" s="52">
        <f t="shared" ref="K57:K61" si="18">IF(J57&gt;0,(I57/J57)/SUMPRODUCT($I$57:$I$61/$J$57:$J$61)*100,"")</f>
        <v>73.69598614</v>
      </c>
      <c r="L57" s="52">
        <f t="shared" si="2"/>
        <v>221.0879584</v>
      </c>
      <c r="M57" s="52">
        <v>7.27</v>
      </c>
      <c r="N57" s="52">
        <v>63.13</v>
      </c>
      <c r="O57" s="52">
        <v>55.27</v>
      </c>
      <c r="P57" s="52">
        <v>3.13</v>
      </c>
      <c r="Q57" s="52">
        <v>0.3</v>
      </c>
      <c r="R57" s="52">
        <v>0.19</v>
      </c>
      <c r="S57" s="52">
        <f t="shared" si="3"/>
        <v>3.635274063</v>
      </c>
      <c r="T57" s="52">
        <f t="shared" si="4"/>
        <v>31.56737986</v>
      </c>
      <c r="U57" s="52">
        <f t="shared" si="5"/>
        <v>27.63708356</v>
      </c>
      <c r="V57" s="52">
        <f t="shared" si="6"/>
        <v>1.565117994</v>
      </c>
      <c r="W57" s="52">
        <f t="shared" si="7"/>
        <v>0.1500113093</v>
      </c>
      <c r="X57" s="52">
        <f t="shared" si="8"/>
        <v>0.09500716258</v>
      </c>
    </row>
    <row r="58" ht="15.0" customHeight="1">
      <c r="A58" s="51">
        <v>17.0</v>
      </c>
      <c r="B58" s="51" t="s">
        <v>266</v>
      </c>
      <c r="C58" s="51">
        <v>188.0</v>
      </c>
      <c r="D58" s="51" t="s">
        <v>16</v>
      </c>
      <c r="E58" s="51" t="s">
        <v>19</v>
      </c>
      <c r="F58" s="51" t="s">
        <v>299</v>
      </c>
      <c r="G58" s="51" t="s">
        <v>316</v>
      </c>
      <c r="H58" s="52">
        <v>28.01</v>
      </c>
      <c r="I58" s="52">
        <v>28.01</v>
      </c>
      <c r="J58" s="52">
        <v>87.78</v>
      </c>
      <c r="K58" s="52">
        <f t="shared" si="18"/>
        <v>14.85621739</v>
      </c>
      <c r="L58" s="52">
        <f t="shared" si="2"/>
        <v>44.56865218</v>
      </c>
      <c r="M58" s="52">
        <v>9.1</v>
      </c>
      <c r="N58" s="52">
        <v>86.03</v>
      </c>
      <c r="O58" s="52">
        <v>14.39</v>
      </c>
      <c r="P58" s="52">
        <v>4.18</v>
      </c>
      <c r="Q58" s="52">
        <v>0.03</v>
      </c>
      <c r="R58" s="52">
        <v>0.25</v>
      </c>
      <c r="S58" s="52">
        <f t="shared" si="3"/>
        <v>2.54891</v>
      </c>
      <c r="T58" s="52">
        <f t="shared" si="4"/>
        <v>24.097003</v>
      </c>
      <c r="U58" s="52">
        <f t="shared" si="5"/>
        <v>4.030639</v>
      </c>
      <c r="V58" s="52">
        <f t="shared" si="6"/>
        <v>1.170818</v>
      </c>
      <c r="W58" s="52">
        <f t="shared" si="7"/>
        <v>0.008403</v>
      </c>
      <c r="X58" s="52">
        <f t="shared" si="8"/>
        <v>0.070025</v>
      </c>
    </row>
    <row r="59" ht="15.0" customHeight="1">
      <c r="A59" s="51">
        <v>17.0</v>
      </c>
      <c r="B59" s="51" t="s">
        <v>266</v>
      </c>
      <c r="C59" s="51">
        <v>208.0</v>
      </c>
      <c r="D59" s="51" t="s">
        <v>22</v>
      </c>
      <c r="E59" s="51" t="s">
        <v>23</v>
      </c>
      <c r="F59" s="51" t="s">
        <v>299</v>
      </c>
      <c r="G59" s="51" t="s">
        <v>316</v>
      </c>
      <c r="H59" s="52">
        <v>19.9</v>
      </c>
      <c r="I59" s="52">
        <v>19.9</v>
      </c>
      <c r="J59" s="52">
        <v>88.48</v>
      </c>
      <c r="K59" s="52">
        <f t="shared" si="18"/>
        <v>10.47125356</v>
      </c>
      <c r="L59" s="52">
        <f t="shared" si="2"/>
        <v>31.41376067</v>
      </c>
      <c r="M59" s="52">
        <v>48.76</v>
      </c>
      <c r="N59" s="52">
        <v>80.73</v>
      </c>
      <c r="O59" s="52">
        <v>15.37</v>
      </c>
      <c r="P59" s="52">
        <v>1.75</v>
      </c>
      <c r="Q59" s="52">
        <v>0.33</v>
      </c>
      <c r="R59" s="52">
        <v>0.57</v>
      </c>
      <c r="S59" s="52">
        <f t="shared" si="3"/>
        <v>9.70324</v>
      </c>
      <c r="T59" s="52">
        <f t="shared" si="4"/>
        <v>16.06527</v>
      </c>
      <c r="U59" s="52">
        <f t="shared" si="5"/>
        <v>3.05863</v>
      </c>
      <c r="V59" s="52">
        <f t="shared" si="6"/>
        <v>0.34825</v>
      </c>
      <c r="W59" s="52">
        <f t="shared" si="7"/>
        <v>0.06567</v>
      </c>
      <c r="X59" s="52">
        <f t="shared" si="8"/>
        <v>0.11343</v>
      </c>
    </row>
    <row r="60" ht="15.0" customHeight="1">
      <c r="A60" s="51">
        <v>17.0</v>
      </c>
      <c r="B60" s="51" t="s">
        <v>266</v>
      </c>
      <c r="C60" s="51">
        <v>211.0</v>
      </c>
      <c r="D60" s="51" t="s">
        <v>22</v>
      </c>
      <c r="E60" s="51" t="s">
        <v>25</v>
      </c>
      <c r="F60" s="51" t="s">
        <v>299</v>
      </c>
      <c r="G60" s="51" t="s">
        <v>300</v>
      </c>
      <c r="H60" s="52">
        <v>0.9872041640979214</v>
      </c>
      <c r="I60" s="52">
        <v>0.9962302228829564</v>
      </c>
      <c r="J60" s="52">
        <v>99.0</v>
      </c>
      <c r="K60" s="52">
        <f t="shared" si="18"/>
        <v>0.4685060806</v>
      </c>
      <c r="L60" s="52">
        <f t="shared" si="2"/>
        <v>1.405518242</v>
      </c>
      <c r="M60" s="52">
        <v>280.0</v>
      </c>
      <c r="N60" s="52">
        <v>0.0</v>
      </c>
      <c r="O60" s="52">
        <v>0.0</v>
      </c>
      <c r="P60" s="52">
        <v>0.0</v>
      </c>
      <c r="Q60" s="52">
        <v>0.0</v>
      </c>
      <c r="R60" s="52">
        <v>0.0</v>
      </c>
      <c r="S60" s="52">
        <f t="shared" si="3"/>
        <v>2.789444624</v>
      </c>
      <c r="T60" s="52">
        <f t="shared" si="4"/>
        <v>0</v>
      </c>
      <c r="U60" s="52">
        <f t="shared" si="5"/>
        <v>0</v>
      </c>
      <c r="V60" s="52">
        <f t="shared" si="6"/>
        <v>0</v>
      </c>
      <c r="W60" s="52">
        <f t="shared" si="7"/>
        <v>0</v>
      </c>
      <c r="X60" s="52">
        <f t="shared" si="8"/>
        <v>0</v>
      </c>
    </row>
    <row r="61" ht="15.0" customHeight="1">
      <c r="A61" s="51">
        <v>17.0</v>
      </c>
      <c r="B61" s="51" t="s">
        <v>266</v>
      </c>
      <c r="C61" s="51">
        <v>213.0</v>
      </c>
      <c r="D61" s="51" t="s">
        <v>24</v>
      </c>
      <c r="E61" s="51" t="s">
        <v>26</v>
      </c>
      <c r="F61" s="51" t="s">
        <v>299</v>
      </c>
      <c r="G61" s="51" t="s">
        <v>316</v>
      </c>
      <c r="H61" s="52">
        <v>1.09</v>
      </c>
      <c r="I61" s="52">
        <v>1.09</v>
      </c>
      <c r="J61" s="52">
        <v>99.89</v>
      </c>
      <c r="K61" s="52">
        <f t="shared" si="18"/>
        <v>0.508036831</v>
      </c>
      <c r="L61" s="52">
        <f t="shared" si="2"/>
        <v>1.524110493</v>
      </c>
      <c r="M61" s="52">
        <v>0.0</v>
      </c>
      <c r="N61" s="52">
        <v>0.0</v>
      </c>
      <c r="O61" s="52">
        <v>0.0</v>
      </c>
      <c r="P61" s="52">
        <v>0.0</v>
      </c>
      <c r="Q61" s="52">
        <v>37.35</v>
      </c>
      <c r="R61" s="52">
        <v>0.01</v>
      </c>
      <c r="S61" s="52">
        <f t="shared" si="3"/>
        <v>0</v>
      </c>
      <c r="T61" s="52">
        <f t="shared" si="4"/>
        <v>0</v>
      </c>
      <c r="U61" s="52">
        <f t="shared" si="5"/>
        <v>0</v>
      </c>
      <c r="V61" s="52">
        <f t="shared" si="6"/>
        <v>0</v>
      </c>
      <c r="W61" s="52">
        <f t="shared" si="7"/>
        <v>0.407115</v>
      </c>
      <c r="X61" s="52">
        <f t="shared" si="8"/>
        <v>0.000109</v>
      </c>
    </row>
    <row r="62" ht="15.0" customHeight="1">
      <c r="A62" s="51">
        <v>18.0</v>
      </c>
      <c r="B62" s="51" t="s">
        <v>61</v>
      </c>
      <c r="C62" s="51">
        <v>188.0</v>
      </c>
      <c r="D62" s="51" t="s">
        <v>16</v>
      </c>
      <c r="E62" s="51" t="s">
        <v>19</v>
      </c>
      <c r="F62" s="51" t="s">
        <v>299</v>
      </c>
      <c r="G62" s="51" t="s">
        <v>316</v>
      </c>
      <c r="H62" s="52">
        <v>49.42</v>
      </c>
      <c r="I62" s="52">
        <v>49.42</v>
      </c>
      <c r="J62" s="52">
        <v>87.78</v>
      </c>
      <c r="K62" s="52">
        <f t="shared" ref="K62:K65" si="19">IF(J62&gt;0,(I62/J62)/SUMPRODUCT($I$62:$I$65/$J$62:$J$65)*100,"")</f>
        <v>50.25291473</v>
      </c>
      <c r="L62" s="52">
        <f t="shared" si="2"/>
        <v>150.7587442</v>
      </c>
      <c r="M62" s="52">
        <v>9.1</v>
      </c>
      <c r="N62" s="52">
        <v>86.03</v>
      </c>
      <c r="O62" s="52">
        <v>14.39</v>
      </c>
      <c r="P62" s="52">
        <v>4.18</v>
      </c>
      <c r="Q62" s="52">
        <v>0.03</v>
      </c>
      <c r="R62" s="52">
        <v>0.25</v>
      </c>
      <c r="S62" s="52">
        <f t="shared" si="3"/>
        <v>4.49722</v>
      </c>
      <c r="T62" s="52">
        <f t="shared" si="4"/>
        <v>42.516026</v>
      </c>
      <c r="U62" s="52">
        <f t="shared" si="5"/>
        <v>7.111538</v>
      </c>
      <c r="V62" s="52">
        <f t="shared" si="6"/>
        <v>2.065756</v>
      </c>
      <c r="W62" s="52">
        <f t="shared" si="7"/>
        <v>0.014826</v>
      </c>
      <c r="X62" s="52">
        <f t="shared" si="8"/>
        <v>0.12355</v>
      </c>
    </row>
    <row r="63" ht="15.0" customHeight="1">
      <c r="A63" s="51">
        <v>18.0</v>
      </c>
      <c r="B63" s="51" t="s">
        <v>61</v>
      </c>
      <c r="C63" s="51">
        <v>173.0</v>
      </c>
      <c r="D63" s="51" t="s">
        <v>16</v>
      </c>
      <c r="E63" s="51" t="s">
        <v>52</v>
      </c>
      <c r="F63" s="51" t="s">
        <v>299</v>
      </c>
      <c r="G63" s="51" t="s">
        <v>316</v>
      </c>
      <c r="H63" s="52">
        <v>47.89</v>
      </c>
      <c r="I63" s="52">
        <v>47.89</v>
      </c>
      <c r="J63" s="52">
        <v>90.57</v>
      </c>
      <c r="K63" s="52">
        <f t="shared" si="19"/>
        <v>47.19701813</v>
      </c>
      <c r="L63" s="52">
        <f t="shared" si="2"/>
        <v>141.5910544</v>
      </c>
      <c r="M63" s="52">
        <v>14.21</v>
      </c>
      <c r="N63" s="52">
        <v>75.24</v>
      </c>
      <c r="O63" s="52">
        <v>27.69</v>
      </c>
      <c r="P63" s="52">
        <v>5.13</v>
      </c>
      <c r="Q63" s="52">
        <v>0.13</v>
      </c>
      <c r="R63" s="52">
        <v>0.35</v>
      </c>
      <c r="S63" s="52">
        <f t="shared" si="3"/>
        <v>6.805169</v>
      </c>
      <c r="T63" s="52">
        <f t="shared" si="4"/>
        <v>36.032436</v>
      </c>
      <c r="U63" s="52">
        <f t="shared" si="5"/>
        <v>13.260741</v>
      </c>
      <c r="V63" s="52">
        <f t="shared" si="6"/>
        <v>2.456757</v>
      </c>
      <c r="W63" s="52">
        <f t="shared" si="7"/>
        <v>0.062257</v>
      </c>
      <c r="X63" s="52">
        <f t="shared" si="8"/>
        <v>0.167615</v>
      </c>
    </row>
    <row r="64" ht="15.0" customHeight="1">
      <c r="A64" s="51">
        <v>18.0</v>
      </c>
      <c r="B64" s="51" t="s">
        <v>61</v>
      </c>
      <c r="C64" s="51">
        <v>208.0</v>
      </c>
      <c r="D64" s="51" t="s">
        <v>22</v>
      </c>
      <c r="E64" s="51" t="s">
        <v>23</v>
      </c>
      <c r="F64" s="51" t="s">
        <v>299</v>
      </c>
      <c r="G64" s="51" t="s">
        <v>316</v>
      </c>
      <c r="H64" s="52">
        <v>1.27</v>
      </c>
      <c r="I64" s="52">
        <v>1.27</v>
      </c>
      <c r="J64" s="52">
        <v>88.48</v>
      </c>
      <c r="K64" s="52">
        <f t="shared" si="19"/>
        <v>1.281187518</v>
      </c>
      <c r="L64" s="52">
        <f t="shared" si="2"/>
        <v>3.843562554</v>
      </c>
      <c r="M64" s="52">
        <v>48.76</v>
      </c>
      <c r="N64" s="52">
        <v>80.73</v>
      </c>
      <c r="O64" s="52">
        <v>15.37</v>
      </c>
      <c r="P64" s="52">
        <v>1.75</v>
      </c>
      <c r="Q64" s="52">
        <v>0.33</v>
      </c>
      <c r="R64" s="52">
        <v>0.57</v>
      </c>
      <c r="S64" s="52">
        <f t="shared" si="3"/>
        <v>0.619252</v>
      </c>
      <c r="T64" s="52">
        <f t="shared" si="4"/>
        <v>1.025271</v>
      </c>
      <c r="U64" s="52">
        <f t="shared" si="5"/>
        <v>0.195199</v>
      </c>
      <c r="V64" s="52">
        <f t="shared" si="6"/>
        <v>0.022225</v>
      </c>
      <c r="W64" s="52">
        <f t="shared" si="7"/>
        <v>0.004191</v>
      </c>
      <c r="X64" s="52">
        <f t="shared" si="8"/>
        <v>0.007239</v>
      </c>
    </row>
    <row r="65" ht="15.0" customHeight="1">
      <c r="A65" s="51">
        <v>18.0</v>
      </c>
      <c r="B65" s="51" t="s">
        <v>61</v>
      </c>
      <c r="C65" s="51">
        <v>213.0</v>
      </c>
      <c r="D65" s="51" t="s">
        <v>24</v>
      </c>
      <c r="E65" s="51" t="s">
        <v>26</v>
      </c>
      <c r="F65" s="51" t="s">
        <v>299</v>
      </c>
      <c r="G65" s="51" t="s">
        <v>300</v>
      </c>
      <c r="H65" s="52">
        <v>1.419999999999988</v>
      </c>
      <c r="I65" s="52">
        <v>1.419999999999988</v>
      </c>
      <c r="J65" s="52">
        <v>99.89</v>
      </c>
      <c r="K65" s="52">
        <f t="shared" si="19"/>
        <v>1.268879623</v>
      </c>
      <c r="L65" s="52">
        <f t="shared" si="2"/>
        <v>3.806638869</v>
      </c>
      <c r="M65" s="52">
        <v>0.0</v>
      </c>
      <c r="N65" s="52">
        <v>0.0</v>
      </c>
      <c r="O65" s="52">
        <v>0.0</v>
      </c>
      <c r="P65" s="52">
        <v>0.0</v>
      </c>
      <c r="Q65" s="52">
        <v>37.35</v>
      </c>
      <c r="R65" s="52">
        <v>0.01</v>
      </c>
      <c r="S65" s="52">
        <f t="shared" si="3"/>
        <v>0</v>
      </c>
      <c r="T65" s="52">
        <f t="shared" si="4"/>
        <v>0</v>
      </c>
      <c r="U65" s="52">
        <f t="shared" si="5"/>
        <v>0</v>
      </c>
      <c r="V65" s="52">
        <f t="shared" si="6"/>
        <v>0</v>
      </c>
      <c r="W65" s="52">
        <f t="shared" si="7"/>
        <v>0.53037</v>
      </c>
      <c r="X65" s="52">
        <f t="shared" si="8"/>
        <v>0.000142</v>
      </c>
    </row>
    <row r="66" ht="15.0" customHeight="1">
      <c r="A66" s="51">
        <v>20.0</v>
      </c>
      <c r="B66" s="51" t="s">
        <v>61</v>
      </c>
      <c r="C66" s="51">
        <v>188.0</v>
      </c>
      <c r="D66" s="51" t="s">
        <v>16</v>
      </c>
      <c r="E66" s="51" t="s">
        <v>19</v>
      </c>
      <c r="F66" s="51" t="s">
        <v>299</v>
      </c>
      <c r="G66" s="51" t="s">
        <v>316</v>
      </c>
      <c r="H66" s="52">
        <v>82.05</v>
      </c>
      <c r="I66" s="52">
        <v>82.05</v>
      </c>
      <c r="J66" s="52">
        <v>87.78</v>
      </c>
      <c r="K66" s="52">
        <f t="shared" ref="K66:K68" si="20">IF(J66&gt;0,(I66/J66)/SUMPRODUCT($I$66:$I$68/$J$66:$J$68)*100,"")</f>
        <v>82.29930656</v>
      </c>
      <c r="L66" s="52">
        <f t="shared" si="2"/>
        <v>246.8979197</v>
      </c>
      <c r="M66" s="52">
        <v>9.1</v>
      </c>
      <c r="N66" s="52">
        <v>86.03</v>
      </c>
      <c r="O66" s="52">
        <v>14.39</v>
      </c>
      <c r="P66" s="52">
        <v>4.18</v>
      </c>
      <c r="Q66" s="52">
        <v>0.03</v>
      </c>
      <c r="R66" s="52">
        <v>0.25</v>
      </c>
      <c r="S66" s="52">
        <f t="shared" si="3"/>
        <v>7.46655</v>
      </c>
      <c r="T66" s="52">
        <f t="shared" si="4"/>
        <v>70.587615</v>
      </c>
      <c r="U66" s="52">
        <f t="shared" si="5"/>
        <v>11.806995</v>
      </c>
      <c r="V66" s="52">
        <f t="shared" si="6"/>
        <v>3.42969</v>
      </c>
      <c r="W66" s="52">
        <f t="shared" si="7"/>
        <v>0.024615</v>
      </c>
      <c r="X66" s="52">
        <f t="shared" si="8"/>
        <v>0.205125</v>
      </c>
    </row>
    <row r="67" ht="15.0" customHeight="1">
      <c r="A67" s="51">
        <v>20.0</v>
      </c>
      <c r="B67" s="51" t="s">
        <v>61</v>
      </c>
      <c r="C67" s="51">
        <v>208.0</v>
      </c>
      <c r="D67" s="51" t="s">
        <v>22</v>
      </c>
      <c r="E67" s="51" t="s">
        <v>23</v>
      </c>
      <c r="F67" s="51" t="s">
        <v>299</v>
      </c>
      <c r="G67" s="51" t="s">
        <v>316</v>
      </c>
      <c r="H67" s="52">
        <v>16.53</v>
      </c>
      <c r="I67" s="52">
        <v>16.53</v>
      </c>
      <c r="J67" s="52">
        <v>88.48</v>
      </c>
      <c r="K67" s="52">
        <f t="shared" si="20"/>
        <v>16.44905325</v>
      </c>
      <c r="L67" s="52">
        <f t="shared" si="2"/>
        <v>49.34715976</v>
      </c>
      <c r="M67" s="52">
        <v>48.76</v>
      </c>
      <c r="N67" s="52">
        <v>80.73</v>
      </c>
      <c r="O67" s="52">
        <v>15.37</v>
      </c>
      <c r="P67" s="52">
        <v>1.75</v>
      </c>
      <c r="Q67" s="52">
        <v>0.33</v>
      </c>
      <c r="R67" s="52">
        <v>0.57</v>
      </c>
      <c r="S67" s="52">
        <f t="shared" si="3"/>
        <v>8.060028</v>
      </c>
      <c r="T67" s="52">
        <f t="shared" si="4"/>
        <v>13.344669</v>
      </c>
      <c r="U67" s="52">
        <f t="shared" si="5"/>
        <v>2.540661</v>
      </c>
      <c r="V67" s="52">
        <f t="shared" si="6"/>
        <v>0.289275</v>
      </c>
      <c r="W67" s="52">
        <f t="shared" si="7"/>
        <v>0.054549</v>
      </c>
      <c r="X67" s="52">
        <f t="shared" si="8"/>
        <v>0.094221</v>
      </c>
    </row>
    <row r="68" ht="15.0" customHeight="1">
      <c r="A68" s="51">
        <v>20.0</v>
      </c>
      <c r="B68" s="51" t="s">
        <v>61</v>
      </c>
      <c r="C68" s="51">
        <v>213.0</v>
      </c>
      <c r="D68" s="51" t="s">
        <v>24</v>
      </c>
      <c r="E68" s="51" t="s">
        <v>26</v>
      </c>
      <c r="F68" s="51" t="s">
        <v>299</v>
      </c>
      <c r="G68" s="51" t="s">
        <v>300</v>
      </c>
      <c r="H68" s="52">
        <v>1.419999999999999</v>
      </c>
      <c r="I68" s="52">
        <v>1.419999999999999</v>
      </c>
      <c r="J68" s="52">
        <v>99.89</v>
      </c>
      <c r="K68" s="52">
        <f t="shared" si="20"/>
        <v>1.251640186</v>
      </c>
      <c r="L68" s="52">
        <f t="shared" si="2"/>
        <v>3.754920557</v>
      </c>
      <c r="M68" s="52">
        <v>0.0</v>
      </c>
      <c r="N68" s="52">
        <v>0.0</v>
      </c>
      <c r="O68" s="52">
        <v>0.0</v>
      </c>
      <c r="P68" s="52">
        <v>0.0</v>
      </c>
      <c r="Q68" s="52">
        <v>37.35</v>
      </c>
      <c r="R68" s="52">
        <v>0.01</v>
      </c>
      <c r="S68" s="52">
        <f t="shared" si="3"/>
        <v>0</v>
      </c>
      <c r="T68" s="52">
        <f t="shared" si="4"/>
        <v>0</v>
      </c>
      <c r="U68" s="52">
        <f t="shared" si="5"/>
        <v>0</v>
      </c>
      <c r="V68" s="52">
        <f t="shared" si="6"/>
        <v>0</v>
      </c>
      <c r="W68" s="52">
        <f t="shared" si="7"/>
        <v>0.53037</v>
      </c>
      <c r="X68" s="52">
        <f t="shared" si="8"/>
        <v>0.000142</v>
      </c>
    </row>
    <row r="69" ht="15.0" customHeight="1">
      <c r="A69" s="51">
        <v>21.0</v>
      </c>
      <c r="B69" s="51" t="s">
        <v>259</v>
      </c>
      <c r="C69" s="51">
        <v>168.0</v>
      </c>
      <c r="D69" s="51" t="s">
        <v>18</v>
      </c>
      <c r="E69" s="51" t="s">
        <v>20</v>
      </c>
      <c r="F69" s="51" t="s">
        <v>314</v>
      </c>
      <c r="G69" s="51" t="s">
        <v>300</v>
      </c>
      <c r="H69" s="52">
        <v>57.48922949461475</v>
      </c>
      <c r="I69" s="52">
        <v>50.0</v>
      </c>
      <c r="J69" s="52">
        <v>31.59</v>
      </c>
      <c r="K69" s="52">
        <f t="shared" ref="K69:K72" si="21">IF(J69&gt;0,(I69/J69)/SUMPRODUCT($I$69:$I$72/$J$69:$J$72)*100,"")</f>
        <v>73.73879089</v>
      </c>
      <c r="L69" s="52">
        <f t="shared" si="2"/>
        <v>221.2163727</v>
      </c>
      <c r="M69" s="52">
        <v>7.27</v>
      </c>
      <c r="N69" s="52">
        <v>63.13</v>
      </c>
      <c r="O69" s="52">
        <v>55.27</v>
      </c>
      <c r="P69" s="52">
        <v>3.13</v>
      </c>
      <c r="Q69" s="52">
        <v>0.3</v>
      </c>
      <c r="R69" s="52">
        <v>0.19</v>
      </c>
      <c r="S69" s="52">
        <f t="shared" si="3"/>
        <v>3.635</v>
      </c>
      <c r="T69" s="52">
        <f t="shared" si="4"/>
        <v>31.565</v>
      </c>
      <c r="U69" s="52">
        <f t="shared" si="5"/>
        <v>27.635</v>
      </c>
      <c r="V69" s="52">
        <f t="shared" si="6"/>
        <v>1.565</v>
      </c>
      <c r="W69" s="52">
        <f t="shared" si="7"/>
        <v>0.15</v>
      </c>
      <c r="X69" s="52">
        <f t="shared" si="8"/>
        <v>0.095</v>
      </c>
    </row>
    <row r="70" ht="15.0" customHeight="1">
      <c r="A70" s="51">
        <v>21.0</v>
      </c>
      <c r="B70" s="51" t="s">
        <v>259</v>
      </c>
      <c r="C70" s="51">
        <v>208.0</v>
      </c>
      <c r="D70" s="51" t="s">
        <v>22</v>
      </c>
      <c r="E70" s="51" t="s">
        <v>23</v>
      </c>
      <c r="F70" s="51" t="s">
        <v>299</v>
      </c>
      <c r="G70" s="51" t="s">
        <v>300</v>
      </c>
      <c r="H70" s="52">
        <v>40.51077050538525</v>
      </c>
      <c r="I70" s="52">
        <v>48.9</v>
      </c>
      <c r="J70" s="52">
        <v>88.48</v>
      </c>
      <c r="K70" s="52">
        <f t="shared" si="21"/>
        <v>25.74775564</v>
      </c>
      <c r="L70" s="52">
        <f t="shared" si="2"/>
        <v>77.24326693</v>
      </c>
      <c r="M70" s="52">
        <v>48.76</v>
      </c>
      <c r="N70" s="52">
        <v>80.73</v>
      </c>
      <c r="O70" s="52">
        <v>15.37</v>
      </c>
      <c r="P70" s="52">
        <v>1.75</v>
      </c>
      <c r="Q70" s="52">
        <v>0.33</v>
      </c>
      <c r="R70" s="52">
        <v>0.57</v>
      </c>
      <c r="S70" s="52">
        <f t="shared" si="3"/>
        <v>23.84364</v>
      </c>
      <c r="T70" s="52">
        <f t="shared" si="4"/>
        <v>39.47697</v>
      </c>
      <c r="U70" s="52">
        <f t="shared" si="5"/>
        <v>7.51593</v>
      </c>
      <c r="V70" s="52">
        <f t="shared" si="6"/>
        <v>0.85575</v>
      </c>
      <c r="W70" s="52">
        <f t="shared" si="7"/>
        <v>0.16137</v>
      </c>
      <c r="X70" s="52">
        <f t="shared" si="8"/>
        <v>0.27873</v>
      </c>
    </row>
    <row r="71" ht="15.0" customHeight="1">
      <c r="A71" s="51">
        <v>21.0</v>
      </c>
      <c r="B71" s="51" t="s">
        <v>259</v>
      </c>
      <c r="C71" s="51">
        <v>211.0</v>
      </c>
      <c r="D71" s="51" t="s">
        <v>22</v>
      </c>
      <c r="E71" s="51" t="s">
        <v>25</v>
      </c>
      <c r="F71" s="51" t="s">
        <v>299</v>
      </c>
      <c r="G71" s="51" t="s">
        <v>300</v>
      </c>
      <c r="H71" s="52">
        <v>1.0</v>
      </c>
      <c r="I71" s="52">
        <v>0.1</v>
      </c>
      <c r="J71" s="52">
        <v>99.0</v>
      </c>
      <c r="K71" s="52">
        <f t="shared" si="21"/>
        <v>0.04705875564</v>
      </c>
      <c r="L71" s="52">
        <f t="shared" si="2"/>
        <v>0.1411762669</v>
      </c>
      <c r="M71" s="52">
        <v>280.0</v>
      </c>
      <c r="N71" s="52">
        <v>0.0</v>
      </c>
      <c r="O71" s="52">
        <v>0.0</v>
      </c>
      <c r="P71" s="52">
        <v>0.0</v>
      </c>
      <c r="Q71" s="52">
        <v>0.0</v>
      </c>
      <c r="R71" s="52">
        <v>0.0</v>
      </c>
      <c r="S71" s="52">
        <f t="shared" si="3"/>
        <v>0.28</v>
      </c>
      <c r="T71" s="52">
        <f t="shared" si="4"/>
        <v>0</v>
      </c>
      <c r="U71" s="52">
        <f t="shared" si="5"/>
        <v>0</v>
      </c>
      <c r="V71" s="52">
        <f t="shared" si="6"/>
        <v>0</v>
      </c>
      <c r="W71" s="52">
        <f t="shared" si="7"/>
        <v>0</v>
      </c>
      <c r="X71" s="52">
        <f t="shared" si="8"/>
        <v>0</v>
      </c>
    </row>
    <row r="72" ht="15.0" customHeight="1">
      <c r="A72" s="51">
        <v>21.0</v>
      </c>
      <c r="B72" s="51" t="s">
        <v>259</v>
      </c>
      <c r="C72" s="51">
        <v>213.0</v>
      </c>
      <c r="D72" s="51" t="s">
        <v>24</v>
      </c>
      <c r="E72" s="51" t="s">
        <v>26</v>
      </c>
      <c r="F72" s="51" t="s">
        <v>299</v>
      </c>
      <c r="G72" s="51" t="s">
        <v>316</v>
      </c>
      <c r="H72" s="52">
        <v>1.0</v>
      </c>
      <c r="I72" s="52">
        <v>1.0</v>
      </c>
      <c r="J72" s="52">
        <v>99.89</v>
      </c>
      <c r="K72" s="52">
        <f t="shared" si="21"/>
        <v>0.466394715</v>
      </c>
      <c r="L72" s="52">
        <f t="shared" si="2"/>
        <v>1.399184145</v>
      </c>
      <c r="M72" s="52">
        <v>0.0</v>
      </c>
      <c r="N72" s="52">
        <v>0.0</v>
      </c>
      <c r="O72" s="52">
        <v>0.0</v>
      </c>
      <c r="P72" s="52">
        <v>0.0</v>
      </c>
      <c r="Q72" s="52">
        <v>37.35</v>
      </c>
      <c r="R72" s="52">
        <v>0.01</v>
      </c>
      <c r="S72" s="52">
        <f t="shared" si="3"/>
        <v>0</v>
      </c>
      <c r="T72" s="52">
        <f t="shared" si="4"/>
        <v>0</v>
      </c>
      <c r="U72" s="52">
        <f t="shared" si="5"/>
        <v>0</v>
      </c>
      <c r="V72" s="52">
        <f t="shared" si="6"/>
        <v>0</v>
      </c>
      <c r="W72" s="52">
        <f t="shared" si="7"/>
        <v>0.3735</v>
      </c>
      <c r="X72" s="52">
        <f t="shared" si="8"/>
        <v>0.0001</v>
      </c>
    </row>
    <row r="73" ht="15.0" customHeight="1">
      <c r="A73" s="51">
        <v>21.0</v>
      </c>
      <c r="B73" s="51" t="s">
        <v>266</v>
      </c>
      <c r="C73" s="51">
        <v>168.0</v>
      </c>
      <c r="D73" s="51" t="s">
        <v>18</v>
      </c>
      <c r="E73" s="51" t="s">
        <v>20</v>
      </c>
      <c r="F73" s="51" t="s">
        <v>314</v>
      </c>
      <c r="G73" s="51" t="s">
        <v>300</v>
      </c>
      <c r="H73" s="52">
        <v>57.48922949461475</v>
      </c>
      <c r="I73" s="52">
        <v>86.39742737394471</v>
      </c>
      <c r="J73" s="52">
        <v>31.59</v>
      </c>
      <c r="K73" s="52">
        <f t="shared" ref="K73:K76" si="22">IF(J73&gt;0,(I73/J73)/SUMPRODUCT($I$73:$I$76/$J$73:$J$76)*100,"")</f>
        <v>94.72034319</v>
      </c>
      <c r="L73" s="52">
        <f t="shared" si="2"/>
        <v>284.1610296</v>
      </c>
      <c r="M73" s="52">
        <v>7.27</v>
      </c>
      <c r="N73" s="52">
        <v>63.13</v>
      </c>
      <c r="O73" s="52">
        <v>55.27</v>
      </c>
      <c r="P73" s="52">
        <v>3.13</v>
      </c>
      <c r="Q73" s="52">
        <v>0.3</v>
      </c>
      <c r="R73" s="52">
        <v>0.19</v>
      </c>
      <c r="S73" s="52">
        <f t="shared" si="3"/>
        <v>6.28109297</v>
      </c>
      <c r="T73" s="52">
        <f t="shared" si="4"/>
        <v>54.5426959</v>
      </c>
      <c r="U73" s="52">
        <f t="shared" si="5"/>
        <v>47.75185811</v>
      </c>
      <c r="V73" s="52">
        <f t="shared" si="6"/>
        <v>2.704239477</v>
      </c>
      <c r="W73" s="52">
        <f t="shared" si="7"/>
        <v>0.2591922821</v>
      </c>
      <c r="X73" s="52">
        <f t="shared" si="8"/>
        <v>0.164155112</v>
      </c>
    </row>
    <row r="74" ht="15.0" customHeight="1">
      <c r="A74" s="51">
        <v>21.0</v>
      </c>
      <c r="B74" s="51" t="s">
        <v>266</v>
      </c>
      <c r="C74" s="51">
        <v>208.0</v>
      </c>
      <c r="D74" s="51" t="s">
        <v>22</v>
      </c>
      <c r="E74" s="51" t="s">
        <v>23</v>
      </c>
      <c r="F74" s="51" t="s">
        <v>299</v>
      </c>
      <c r="G74" s="51" t="s">
        <v>300</v>
      </c>
      <c r="H74" s="52">
        <v>40.51077050538525</v>
      </c>
      <c r="I74" s="52">
        <v>12.602572626055283</v>
      </c>
      <c r="J74" s="52">
        <v>88.48</v>
      </c>
      <c r="K74" s="52">
        <f t="shared" si="22"/>
        <v>4.932943859</v>
      </c>
      <c r="L74" s="52">
        <f t="shared" si="2"/>
        <v>14.79883158</v>
      </c>
      <c r="M74" s="52">
        <v>48.76</v>
      </c>
      <c r="N74" s="52">
        <v>80.73</v>
      </c>
      <c r="O74" s="52">
        <v>15.37</v>
      </c>
      <c r="P74" s="52">
        <v>1.75</v>
      </c>
      <c r="Q74" s="52">
        <v>0.33</v>
      </c>
      <c r="R74" s="52">
        <v>0.57</v>
      </c>
      <c r="S74" s="52">
        <f t="shared" si="3"/>
        <v>6.145014412</v>
      </c>
      <c r="T74" s="52">
        <f t="shared" si="4"/>
        <v>10.17405688</v>
      </c>
      <c r="U74" s="52">
        <f t="shared" si="5"/>
        <v>1.937015413</v>
      </c>
      <c r="V74" s="52">
        <f t="shared" si="6"/>
        <v>0.220545021</v>
      </c>
      <c r="W74" s="52">
        <f t="shared" si="7"/>
        <v>0.04158848967</v>
      </c>
      <c r="X74" s="52">
        <f t="shared" si="8"/>
        <v>0.07183466397</v>
      </c>
    </row>
    <row r="75" ht="15.0" customHeight="1">
      <c r="A75" s="51">
        <v>21.0</v>
      </c>
      <c r="B75" s="51" t="s">
        <v>266</v>
      </c>
      <c r="C75" s="51">
        <v>211.0</v>
      </c>
      <c r="D75" s="51" t="s">
        <v>22</v>
      </c>
      <c r="E75" s="51" t="s">
        <v>25</v>
      </c>
      <c r="F75" s="51" t="s">
        <v>299</v>
      </c>
      <c r="G75" s="51" t="s">
        <v>300</v>
      </c>
      <c r="H75" s="52">
        <v>1.0</v>
      </c>
      <c r="I75" s="52">
        <v>0.0</v>
      </c>
      <c r="J75" s="52">
        <v>99.0</v>
      </c>
      <c r="K75" s="52">
        <f t="shared" si="22"/>
        <v>0</v>
      </c>
      <c r="L75" s="52">
        <f t="shared" si="2"/>
        <v>0</v>
      </c>
      <c r="M75" s="52">
        <v>280.0</v>
      </c>
      <c r="N75" s="52">
        <v>0.0</v>
      </c>
      <c r="O75" s="52">
        <v>0.0</v>
      </c>
      <c r="P75" s="52">
        <v>0.0</v>
      </c>
      <c r="Q75" s="52">
        <v>0.0</v>
      </c>
      <c r="R75" s="52">
        <v>0.0</v>
      </c>
      <c r="S75" s="52">
        <f t="shared" si="3"/>
        <v>0</v>
      </c>
      <c r="T75" s="52">
        <f t="shared" si="4"/>
        <v>0</v>
      </c>
      <c r="U75" s="52">
        <f t="shared" si="5"/>
        <v>0</v>
      </c>
      <c r="V75" s="52">
        <f t="shared" si="6"/>
        <v>0</v>
      </c>
      <c r="W75" s="52">
        <f t="shared" si="7"/>
        <v>0</v>
      </c>
      <c r="X75" s="52">
        <f t="shared" si="8"/>
        <v>0</v>
      </c>
    </row>
    <row r="76" ht="15.0" customHeight="1">
      <c r="A76" s="51">
        <v>21.0</v>
      </c>
      <c r="B76" s="51" t="s">
        <v>266</v>
      </c>
      <c r="C76" s="51">
        <v>213.0</v>
      </c>
      <c r="D76" s="51" t="s">
        <v>24</v>
      </c>
      <c r="E76" s="51" t="s">
        <v>26</v>
      </c>
      <c r="F76" s="51" t="s">
        <v>299</v>
      </c>
      <c r="G76" s="51" t="s">
        <v>316</v>
      </c>
      <c r="H76" s="52">
        <v>1.0</v>
      </c>
      <c r="I76" s="52">
        <v>1.0</v>
      </c>
      <c r="J76" s="52">
        <v>99.89</v>
      </c>
      <c r="K76" s="52">
        <f t="shared" si="22"/>
        <v>0.3467129513</v>
      </c>
      <c r="L76" s="52">
        <f t="shared" si="2"/>
        <v>1.040138854</v>
      </c>
      <c r="M76" s="52">
        <v>0.0</v>
      </c>
      <c r="N76" s="52">
        <v>0.0</v>
      </c>
      <c r="O76" s="52">
        <v>0.0</v>
      </c>
      <c r="P76" s="52">
        <v>0.0</v>
      </c>
      <c r="Q76" s="52">
        <v>37.35</v>
      </c>
      <c r="R76" s="52">
        <v>0.01</v>
      </c>
      <c r="S76" s="52">
        <f t="shared" si="3"/>
        <v>0</v>
      </c>
      <c r="T76" s="52">
        <f t="shared" si="4"/>
        <v>0</v>
      </c>
      <c r="U76" s="52">
        <f t="shared" si="5"/>
        <v>0</v>
      </c>
      <c r="V76" s="52">
        <f t="shared" si="6"/>
        <v>0</v>
      </c>
      <c r="W76" s="52">
        <f t="shared" si="7"/>
        <v>0.3735</v>
      </c>
      <c r="X76" s="52">
        <f t="shared" si="8"/>
        <v>0.0001</v>
      </c>
    </row>
    <row r="77" ht="15.0" customHeight="1">
      <c r="A77" s="51">
        <v>22.0</v>
      </c>
      <c r="B77" s="51" t="s">
        <v>61</v>
      </c>
      <c r="C77" s="51">
        <v>188.0</v>
      </c>
      <c r="D77" s="51" t="s">
        <v>16</v>
      </c>
      <c r="E77" s="51" t="s">
        <v>19</v>
      </c>
      <c r="F77" s="51" t="s">
        <v>299</v>
      </c>
      <c r="G77" s="51" t="s">
        <v>316</v>
      </c>
      <c r="H77" s="52">
        <v>93.131</v>
      </c>
      <c r="I77" s="52">
        <v>93.131</v>
      </c>
      <c r="J77" s="52">
        <v>87.78</v>
      </c>
      <c r="K77" s="52">
        <f t="shared" ref="K77:K80" si="23">IF(J77&gt;0,(I77/J77)/SUMPRODUCT($I$77:$I$80/$J$77:$J$80)*100,"")</f>
        <v>93.39354244</v>
      </c>
      <c r="L77" s="52">
        <f t="shared" si="2"/>
        <v>280.1806273</v>
      </c>
      <c r="M77" s="52">
        <v>9.1</v>
      </c>
      <c r="N77" s="52">
        <v>86.03</v>
      </c>
      <c r="O77" s="52">
        <v>14.39</v>
      </c>
      <c r="P77" s="52">
        <v>4.18</v>
      </c>
      <c r="Q77" s="52">
        <v>0.03</v>
      </c>
      <c r="R77" s="52">
        <v>0.25</v>
      </c>
      <c r="S77" s="52">
        <f t="shared" si="3"/>
        <v>8.474921</v>
      </c>
      <c r="T77" s="52">
        <f t="shared" si="4"/>
        <v>80.1205993</v>
      </c>
      <c r="U77" s="52">
        <f t="shared" si="5"/>
        <v>13.4015509</v>
      </c>
      <c r="V77" s="52">
        <f t="shared" si="6"/>
        <v>3.8928758</v>
      </c>
      <c r="W77" s="52">
        <f t="shared" si="7"/>
        <v>0.0279393</v>
      </c>
      <c r="X77" s="52">
        <f t="shared" si="8"/>
        <v>0.2328275</v>
      </c>
    </row>
    <row r="78" ht="15.0" customHeight="1">
      <c r="A78" s="51">
        <v>22.0</v>
      </c>
      <c r="B78" s="51" t="s">
        <v>61</v>
      </c>
      <c r="C78" s="51">
        <v>226.0</v>
      </c>
      <c r="D78" s="51" t="s">
        <v>22</v>
      </c>
      <c r="E78" s="51" t="s">
        <v>66</v>
      </c>
      <c r="F78" s="51" t="s">
        <v>299</v>
      </c>
      <c r="G78" s="51" t="s">
        <v>316</v>
      </c>
      <c r="H78" s="52">
        <v>3.8309999999999995</v>
      </c>
      <c r="I78" s="52">
        <v>3.8309999999999995</v>
      </c>
      <c r="J78" s="52">
        <v>86.0</v>
      </c>
      <c r="K78" s="52">
        <f t="shared" si="23"/>
        <v>3.921316164</v>
      </c>
      <c r="L78" s="52">
        <f t="shared" si="2"/>
        <v>11.76394849</v>
      </c>
      <c r="M78" s="52">
        <v>30.0</v>
      </c>
      <c r="N78" s="52">
        <v>90.0</v>
      </c>
      <c r="O78" s="52">
        <v>33.7</v>
      </c>
      <c r="P78" s="52">
        <v>3.0</v>
      </c>
      <c r="Q78" s="52">
        <v>0.06</v>
      </c>
      <c r="R78" s="52">
        <v>0.8</v>
      </c>
      <c r="S78" s="52">
        <f t="shared" si="3"/>
        <v>1.1493</v>
      </c>
      <c r="T78" s="52">
        <f t="shared" si="4"/>
        <v>3.4479</v>
      </c>
      <c r="U78" s="52">
        <f t="shared" si="5"/>
        <v>1.291047</v>
      </c>
      <c r="V78" s="52">
        <f t="shared" si="6"/>
        <v>0.11493</v>
      </c>
      <c r="W78" s="52">
        <f t="shared" si="7"/>
        <v>0.0022986</v>
      </c>
      <c r="X78" s="52">
        <f t="shared" si="8"/>
        <v>0.030648</v>
      </c>
    </row>
    <row r="79" ht="15.0" customHeight="1">
      <c r="A79" s="51">
        <v>22.0</v>
      </c>
      <c r="B79" s="51" t="s">
        <v>61</v>
      </c>
      <c r="C79" s="51">
        <v>213.0</v>
      </c>
      <c r="D79" s="51" t="s">
        <v>24</v>
      </c>
      <c r="E79" s="51" t="s">
        <v>26</v>
      </c>
      <c r="F79" s="51" t="s">
        <v>299</v>
      </c>
      <c r="G79" s="51" t="s">
        <v>300</v>
      </c>
      <c r="H79" s="52">
        <v>2.0380000000000065</v>
      </c>
      <c r="I79" s="52">
        <v>2.0380000000000065</v>
      </c>
      <c r="J79" s="52">
        <v>99.89</v>
      </c>
      <c r="K79" s="52">
        <f t="shared" si="23"/>
        <v>1.795975159</v>
      </c>
      <c r="L79" s="52">
        <f t="shared" si="2"/>
        <v>5.387925477</v>
      </c>
      <c r="M79" s="52">
        <v>0.0</v>
      </c>
      <c r="N79" s="52">
        <v>0.0</v>
      </c>
      <c r="O79" s="52">
        <v>0.0</v>
      </c>
      <c r="P79" s="52">
        <v>0.0</v>
      </c>
      <c r="Q79" s="52">
        <v>37.35</v>
      </c>
      <c r="R79" s="52">
        <v>0.01</v>
      </c>
      <c r="S79" s="52">
        <f t="shared" si="3"/>
        <v>0</v>
      </c>
      <c r="T79" s="52">
        <f t="shared" si="4"/>
        <v>0</v>
      </c>
      <c r="U79" s="52">
        <f t="shared" si="5"/>
        <v>0</v>
      </c>
      <c r="V79" s="52">
        <f t="shared" si="6"/>
        <v>0</v>
      </c>
      <c r="W79" s="52">
        <f t="shared" si="7"/>
        <v>0.761193</v>
      </c>
      <c r="X79" s="52">
        <f t="shared" si="8"/>
        <v>0.0002038</v>
      </c>
    </row>
    <row r="80" ht="15.0" customHeight="1">
      <c r="A80" s="51">
        <v>22.0</v>
      </c>
      <c r="B80" s="51" t="s">
        <v>61</v>
      </c>
      <c r="C80" s="51">
        <v>227.0</v>
      </c>
      <c r="D80" s="51" t="s">
        <v>24</v>
      </c>
      <c r="E80" s="51" t="s">
        <v>70</v>
      </c>
      <c r="F80" s="51" t="s">
        <v>299</v>
      </c>
      <c r="G80" s="51" t="s">
        <v>316</v>
      </c>
      <c r="H80" s="52">
        <v>1.0</v>
      </c>
      <c r="I80" s="52">
        <v>1.0</v>
      </c>
      <c r="J80" s="52">
        <v>99.0</v>
      </c>
      <c r="K80" s="52">
        <f t="shared" si="23"/>
        <v>0.8891662385</v>
      </c>
      <c r="L80" s="52">
        <f t="shared" si="2"/>
        <v>2.667498716</v>
      </c>
      <c r="M80" s="52">
        <v>0.0</v>
      </c>
      <c r="N80" s="52">
        <v>0.0</v>
      </c>
      <c r="O80" s="52">
        <v>0.0</v>
      </c>
      <c r="P80" s="52">
        <v>0.0</v>
      </c>
      <c r="Q80" s="52">
        <v>0.0</v>
      </c>
      <c r="R80" s="52">
        <v>0.0</v>
      </c>
      <c r="S80" s="52">
        <f t="shared" si="3"/>
        <v>0</v>
      </c>
      <c r="T80" s="52">
        <f t="shared" si="4"/>
        <v>0</v>
      </c>
      <c r="U80" s="52">
        <f t="shared" si="5"/>
        <v>0</v>
      </c>
      <c r="V80" s="52">
        <f t="shared" si="6"/>
        <v>0</v>
      </c>
      <c r="W80" s="52">
        <f t="shared" si="7"/>
        <v>0</v>
      </c>
      <c r="X80" s="52">
        <f t="shared" si="8"/>
        <v>0</v>
      </c>
    </row>
    <row r="81" ht="15.0" customHeight="1">
      <c r="A81" s="51">
        <v>23.0</v>
      </c>
      <c r="B81" s="51" t="s">
        <v>259</v>
      </c>
      <c r="C81" s="51">
        <v>168.0</v>
      </c>
      <c r="D81" s="51" t="s">
        <v>18</v>
      </c>
      <c r="E81" s="51" t="s">
        <v>20</v>
      </c>
      <c r="F81" s="51" t="s">
        <v>314</v>
      </c>
      <c r="G81" s="51" t="s">
        <v>300</v>
      </c>
      <c r="H81" s="52">
        <v>50.0</v>
      </c>
      <c r="I81" s="52">
        <v>50.0</v>
      </c>
      <c r="J81" s="52">
        <v>31.59</v>
      </c>
      <c r="K81" s="52">
        <f t="shared" ref="K81:K85" si="24">IF(J81&gt;0,(I81/J81)/SUMPRODUCT($I$81:$I$85/$J$81:$J$85)*100,"")</f>
        <v>73.69208121</v>
      </c>
      <c r="L81" s="52">
        <f t="shared" si="2"/>
        <v>221.0762436</v>
      </c>
      <c r="M81" s="52">
        <v>7.27</v>
      </c>
      <c r="N81" s="52">
        <v>63.13</v>
      </c>
      <c r="O81" s="52">
        <v>55.27</v>
      </c>
      <c r="P81" s="52">
        <v>3.13</v>
      </c>
      <c r="Q81" s="52">
        <v>0.3</v>
      </c>
      <c r="R81" s="52">
        <v>0.19</v>
      </c>
      <c r="S81" s="52">
        <f t="shared" si="3"/>
        <v>3.635</v>
      </c>
      <c r="T81" s="52">
        <f t="shared" si="4"/>
        <v>31.565</v>
      </c>
      <c r="U81" s="52">
        <f t="shared" si="5"/>
        <v>27.635</v>
      </c>
      <c r="V81" s="52">
        <f t="shared" si="6"/>
        <v>1.565</v>
      </c>
      <c r="W81" s="52">
        <f t="shared" si="7"/>
        <v>0.15</v>
      </c>
      <c r="X81" s="52">
        <f t="shared" si="8"/>
        <v>0.095</v>
      </c>
    </row>
    <row r="82" ht="15.0" customHeight="1">
      <c r="A82" s="51">
        <v>23.0</v>
      </c>
      <c r="B82" s="51" t="s">
        <v>259</v>
      </c>
      <c r="C82" s="51">
        <v>188.0</v>
      </c>
      <c r="D82" s="51" t="s">
        <v>16</v>
      </c>
      <c r="E82" s="51" t="s">
        <v>19</v>
      </c>
      <c r="F82" s="51" t="s">
        <v>299</v>
      </c>
      <c r="G82" s="51" t="s">
        <v>300</v>
      </c>
      <c r="H82" s="52">
        <v>29.82008484076686</v>
      </c>
      <c r="I82" s="52">
        <v>28.062935575281468</v>
      </c>
      <c r="J82" s="52">
        <v>87.78</v>
      </c>
      <c r="K82" s="52">
        <f t="shared" si="24"/>
        <v>14.88462736</v>
      </c>
      <c r="L82" s="52">
        <f t="shared" si="2"/>
        <v>44.65388207</v>
      </c>
      <c r="M82" s="52">
        <v>9.1</v>
      </c>
      <c r="N82" s="52">
        <v>86.03</v>
      </c>
      <c r="O82" s="52">
        <v>14.39</v>
      </c>
      <c r="P82" s="52">
        <v>4.18</v>
      </c>
      <c r="Q82" s="52">
        <v>0.03</v>
      </c>
      <c r="R82" s="52">
        <v>0.25</v>
      </c>
      <c r="S82" s="52">
        <f t="shared" si="3"/>
        <v>2.553727137</v>
      </c>
      <c r="T82" s="52">
        <f t="shared" si="4"/>
        <v>24.14254348</v>
      </c>
      <c r="U82" s="52">
        <f t="shared" si="5"/>
        <v>4.038256429</v>
      </c>
      <c r="V82" s="52">
        <f t="shared" si="6"/>
        <v>1.173030707</v>
      </c>
      <c r="W82" s="52">
        <f t="shared" si="7"/>
        <v>0.008418880673</v>
      </c>
      <c r="X82" s="52">
        <f t="shared" si="8"/>
        <v>0.07015733894</v>
      </c>
    </row>
    <row r="83" ht="15.0" customHeight="1">
      <c r="A83" s="51">
        <v>23.0</v>
      </c>
      <c r="B83" s="51" t="s">
        <v>259</v>
      </c>
      <c r="C83" s="51">
        <v>208.0</v>
      </c>
      <c r="D83" s="51" t="s">
        <v>22</v>
      </c>
      <c r="E83" s="51" t="s">
        <v>23</v>
      </c>
      <c r="F83" s="51" t="s">
        <v>299</v>
      </c>
      <c r="G83" s="51" t="s">
        <v>300</v>
      </c>
      <c r="H83" s="52">
        <v>18.10388871061061</v>
      </c>
      <c r="I83" s="52">
        <v>19.869035171283976</v>
      </c>
      <c r="J83" s="52">
        <v>88.48</v>
      </c>
      <c r="K83" s="52">
        <f t="shared" si="24"/>
        <v>10.4551943</v>
      </c>
      <c r="L83" s="52">
        <f t="shared" si="2"/>
        <v>31.3655829</v>
      </c>
      <c r="M83" s="52">
        <v>48.76</v>
      </c>
      <c r="N83" s="52">
        <v>80.73</v>
      </c>
      <c r="O83" s="52">
        <v>15.37</v>
      </c>
      <c r="P83" s="52">
        <v>1.75</v>
      </c>
      <c r="Q83" s="52">
        <v>0.33</v>
      </c>
      <c r="R83" s="52">
        <v>0.57</v>
      </c>
      <c r="S83" s="52">
        <f t="shared" si="3"/>
        <v>9.68814155</v>
      </c>
      <c r="T83" s="52">
        <f t="shared" si="4"/>
        <v>16.04027209</v>
      </c>
      <c r="U83" s="52">
        <f t="shared" si="5"/>
        <v>3.053870706</v>
      </c>
      <c r="V83" s="52">
        <f t="shared" si="6"/>
        <v>0.3477081155</v>
      </c>
      <c r="W83" s="52">
        <f t="shared" si="7"/>
        <v>0.06556781607</v>
      </c>
      <c r="X83" s="52">
        <f t="shared" si="8"/>
        <v>0.1132535005</v>
      </c>
    </row>
    <row r="84" ht="15.0" customHeight="1">
      <c r="A84" s="51">
        <v>23.0</v>
      </c>
      <c r="B84" s="51" t="s">
        <v>259</v>
      </c>
      <c r="C84" s="51">
        <v>211.0</v>
      </c>
      <c r="D84" s="51" t="s">
        <v>22</v>
      </c>
      <c r="E84" s="51" t="s">
        <v>25</v>
      </c>
      <c r="F84" s="51" t="s">
        <v>299</v>
      </c>
      <c r="G84" s="51" t="s">
        <v>300</v>
      </c>
      <c r="H84" s="52">
        <v>1.0</v>
      </c>
      <c r="I84" s="52">
        <v>1.0</v>
      </c>
      <c r="J84" s="52">
        <v>99.0</v>
      </c>
      <c r="K84" s="52">
        <f t="shared" si="24"/>
        <v>0.4702894638</v>
      </c>
      <c r="L84" s="52">
        <f t="shared" si="2"/>
        <v>1.410868391</v>
      </c>
      <c r="M84" s="52">
        <v>280.0</v>
      </c>
      <c r="N84" s="52">
        <v>0.0</v>
      </c>
      <c r="O84" s="52">
        <v>0.0</v>
      </c>
      <c r="P84" s="52">
        <v>0.0</v>
      </c>
      <c r="Q84" s="52">
        <v>0.0</v>
      </c>
      <c r="R84" s="52">
        <v>0.0</v>
      </c>
      <c r="S84" s="52">
        <f t="shared" si="3"/>
        <v>2.8</v>
      </c>
      <c r="T84" s="52">
        <f t="shared" si="4"/>
        <v>0</v>
      </c>
      <c r="U84" s="52">
        <f t="shared" si="5"/>
        <v>0</v>
      </c>
      <c r="V84" s="52">
        <f t="shared" si="6"/>
        <v>0</v>
      </c>
      <c r="W84" s="52">
        <f t="shared" si="7"/>
        <v>0</v>
      </c>
      <c r="X84" s="52">
        <f t="shared" si="8"/>
        <v>0</v>
      </c>
    </row>
    <row r="85" ht="15.0" customHeight="1">
      <c r="A85" s="51">
        <v>23.0</v>
      </c>
      <c r="B85" s="51" t="s">
        <v>259</v>
      </c>
      <c r="C85" s="51">
        <v>213.0</v>
      </c>
      <c r="D85" s="51" t="s">
        <v>24</v>
      </c>
      <c r="E85" s="51" t="s">
        <v>26</v>
      </c>
      <c r="F85" s="51" t="s">
        <v>299</v>
      </c>
      <c r="G85" s="51" t="s">
        <v>300</v>
      </c>
      <c r="H85" s="52">
        <v>1.076026448622526</v>
      </c>
      <c r="I85" s="52">
        <v>1.0680292534345524</v>
      </c>
      <c r="J85" s="52">
        <v>99.89</v>
      </c>
      <c r="K85" s="52">
        <f t="shared" si="24"/>
        <v>0.4978076643</v>
      </c>
      <c r="L85" s="52">
        <f t="shared" si="2"/>
        <v>1.493422993</v>
      </c>
      <c r="M85" s="52">
        <v>0.0</v>
      </c>
      <c r="N85" s="52">
        <v>0.0</v>
      </c>
      <c r="O85" s="52">
        <v>0.0</v>
      </c>
      <c r="P85" s="52">
        <v>0.0</v>
      </c>
      <c r="Q85" s="52">
        <v>37.35</v>
      </c>
      <c r="R85" s="52">
        <v>0.01</v>
      </c>
      <c r="S85" s="52">
        <f t="shared" si="3"/>
        <v>0</v>
      </c>
      <c r="T85" s="52">
        <f t="shared" si="4"/>
        <v>0</v>
      </c>
      <c r="U85" s="52">
        <f t="shared" si="5"/>
        <v>0</v>
      </c>
      <c r="V85" s="52">
        <f t="shared" si="6"/>
        <v>0</v>
      </c>
      <c r="W85" s="52">
        <f t="shared" si="7"/>
        <v>0.3989089262</v>
      </c>
      <c r="X85" s="52">
        <f t="shared" si="8"/>
        <v>0.0001068029253</v>
      </c>
    </row>
    <row r="86" ht="15.0" customHeight="1">
      <c r="A86" s="51">
        <v>23.0</v>
      </c>
      <c r="B86" s="51" t="s">
        <v>266</v>
      </c>
      <c r="C86" s="51">
        <v>168.0</v>
      </c>
      <c r="D86" s="51" t="s">
        <v>18</v>
      </c>
      <c r="E86" s="51" t="s">
        <v>20</v>
      </c>
      <c r="F86" s="51" t="s">
        <v>314</v>
      </c>
      <c r="G86" s="51" t="s">
        <v>300</v>
      </c>
      <c r="H86" s="52">
        <v>50.0</v>
      </c>
      <c r="I86" s="52">
        <v>47.5</v>
      </c>
      <c r="J86" s="52">
        <v>31.59</v>
      </c>
      <c r="K86" s="52">
        <f t="shared" ref="K86:K90" si="25">IF(J86&gt;0,(I86/J86)/SUMPRODUCT($I$86:$I$90/$J$86:$J$90)*100,"")</f>
        <v>71.69911345</v>
      </c>
      <c r="L86" s="52">
        <f t="shared" si="2"/>
        <v>215.0973404</v>
      </c>
      <c r="M86" s="52">
        <v>7.27</v>
      </c>
      <c r="N86" s="52">
        <v>63.13</v>
      </c>
      <c r="O86" s="52">
        <v>55.27</v>
      </c>
      <c r="P86" s="52">
        <v>3.13</v>
      </c>
      <c r="Q86" s="52">
        <v>0.3</v>
      </c>
      <c r="R86" s="52">
        <v>0.19</v>
      </c>
      <c r="S86" s="52">
        <f t="shared" si="3"/>
        <v>3.45325</v>
      </c>
      <c r="T86" s="52">
        <f t="shared" si="4"/>
        <v>29.98675</v>
      </c>
      <c r="U86" s="52">
        <f t="shared" si="5"/>
        <v>26.25325</v>
      </c>
      <c r="V86" s="52">
        <f t="shared" si="6"/>
        <v>1.48675</v>
      </c>
      <c r="W86" s="52">
        <f t="shared" si="7"/>
        <v>0.1425</v>
      </c>
      <c r="X86" s="52">
        <f t="shared" si="8"/>
        <v>0.09025</v>
      </c>
    </row>
    <row r="87" ht="15.0" customHeight="1">
      <c r="A87" s="51">
        <v>23.0</v>
      </c>
      <c r="B87" s="51" t="s">
        <v>266</v>
      </c>
      <c r="C87" s="51">
        <v>188.0</v>
      </c>
      <c r="D87" s="51" t="s">
        <v>16</v>
      </c>
      <c r="E87" s="51" t="s">
        <v>19</v>
      </c>
      <c r="F87" s="51" t="s">
        <v>299</v>
      </c>
      <c r="G87" s="51" t="s">
        <v>300</v>
      </c>
      <c r="H87" s="52">
        <v>29.82008484076686</v>
      </c>
      <c r="I87" s="52">
        <v>30.65495722938717</v>
      </c>
      <c r="J87" s="52">
        <v>87.78</v>
      </c>
      <c r="K87" s="52">
        <f t="shared" si="25"/>
        <v>16.65232736</v>
      </c>
      <c r="L87" s="52">
        <f t="shared" si="2"/>
        <v>49.95698209</v>
      </c>
      <c r="M87" s="52">
        <v>9.1</v>
      </c>
      <c r="N87" s="52">
        <v>86.03</v>
      </c>
      <c r="O87" s="52">
        <v>14.39</v>
      </c>
      <c r="P87" s="52">
        <v>4.18</v>
      </c>
      <c r="Q87" s="52">
        <v>0.03</v>
      </c>
      <c r="R87" s="52">
        <v>0.25</v>
      </c>
      <c r="S87" s="52">
        <f t="shared" si="3"/>
        <v>2.789601108</v>
      </c>
      <c r="T87" s="52">
        <f t="shared" si="4"/>
        <v>26.3724597</v>
      </c>
      <c r="U87" s="52">
        <f t="shared" si="5"/>
        <v>4.411248345</v>
      </c>
      <c r="V87" s="52">
        <f t="shared" si="6"/>
        <v>1.281377212</v>
      </c>
      <c r="W87" s="52">
        <f t="shared" si="7"/>
        <v>0.009196487169</v>
      </c>
      <c r="X87" s="52">
        <f t="shared" si="8"/>
        <v>0.07663739307</v>
      </c>
    </row>
    <row r="88" ht="15.0" customHeight="1">
      <c r="A88" s="51">
        <v>23.0</v>
      </c>
      <c r="B88" s="51" t="s">
        <v>266</v>
      </c>
      <c r="C88" s="51">
        <v>208.0</v>
      </c>
      <c r="D88" s="51" t="s">
        <v>22</v>
      </c>
      <c r="E88" s="51" t="s">
        <v>23</v>
      </c>
      <c r="F88" s="51" t="s">
        <v>299</v>
      </c>
      <c r="G88" s="51" t="s">
        <v>300</v>
      </c>
      <c r="H88" s="52">
        <v>18.10388871061061</v>
      </c>
      <c r="I88" s="52">
        <v>19.758034411391346</v>
      </c>
      <c r="J88" s="52">
        <v>88.48</v>
      </c>
      <c r="K88" s="52">
        <f t="shared" si="25"/>
        <v>10.64800939</v>
      </c>
      <c r="L88" s="52">
        <f t="shared" si="2"/>
        <v>31.94402817</v>
      </c>
      <c r="M88" s="52">
        <v>48.76</v>
      </c>
      <c r="N88" s="52">
        <v>80.73</v>
      </c>
      <c r="O88" s="52">
        <v>15.37</v>
      </c>
      <c r="P88" s="52">
        <v>1.75</v>
      </c>
      <c r="Q88" s="52">
        <v>0.33</v>
      </c>
      <c r="R88" s="52">
        <v>0.57</v>
      </c>
      <c r="S88" s="52">
        <f t="shared" si="3"/>
        <v>9.634017579</v>
      </c>
      <c r="T88" s="52">
        <f t="shared" si="4"/>
        <v>15.95066118</v>
      </c>
      <c r="U88" s="52">
        <f t="shared" si="5"/>
        <v>3.036809889</v>
      </c>
      <c r="V88" s="52">
        <f t="shared" si="6"/>
        <v>0.3457656022</v>
      </c>
      <c r="W88" s="52">
        <f t="shared" si="7"/>
        <v>0.06520151356</v>
      </c>
      <c r="X88" s="52">
        <f t="shared" si="8"/>
        <v>0.1126207961</v>
      </c>
    </row>
    <row r="89" ht="15.0" customHeight="1">
      <c r="A89" s="51">
        <v>23.0</v>
      </c>
      <c r="B89" s="51" t="s">
        <v>266</v>
      </c>
      <c r="C89" s="51">
        <v>211.0</v>
      </c>
      <c r="D89" s="51" t="s">
        <v>22</v>
      </c>
      <c r="E89" s="51" t="s">
        <v>25</v>
      </c>
      <c r="F89" s="51" t="s">
        <v>299</v>
      </c>
      <c r="G89" s="51" t="s">
        <v>300</v>
      </c>
      <c r="H89" s="52">
        <v>1.0</v>
      </c>
      <c r="I89" s="52">
        <v>1.0</v>
      </c>
      <c r="J89" s="52">
        <v>99.0</v>
      </c>
      <c r="K89" s="52">
        <f t="shared" si="25"/>
        <v>0.4816533746</v>
      </c>
      <c r="L89" s="52">
        <f t="shared" si="2"/>
        <v>1.444960124</v>
      </c>
      <c r="M89" s="52">
        <v>280.0</v>
      </c>
      <c r="N89" s="52">
        <v>0.0</v>
      </c>
      <c r="O89" s="52">
        <v>0.0</v>
      </c>
      <c r="P89" s="52">
        <v>0.0</v>
      </c>
      <c r="Q89" s="52">
        <v>0.0</v>
      </c>
      <c r="R89" s="52">
        <v>0.0</v>
      </c>
      <c r="S89" s="52">
        <f t="shared" si="3"/>
        <v>2.8</v>
      </c>
      <c r="T89" s="52">
        <f t="shared" si="4"/>
        <v>0</v>
      </c>
      <c r="U89" s="52">
        <f t="shared" si="5"/>
        <v>0</v>
      </c>
      <c r="V89" s="52">
        <f t="shared" si="6"/>
        <v>0</v>
      </c>
      <c r="W89" s="52">
        <f t="shared" si="7"/>
        <v>0</v>
      </c>
      <c r="X89" s="52">
        <f t="shared" si="8"/>
        <v>0</v>
      </c>
    </row>
    <row r="90" ht="15.0" customHeight="1">
      <c r="A90" s="51">
        <v>23.0</v>
      </c>
      <c r="B90" s="51" t="s">
        <v>266</v>
      </c>
      <c r="C90" s="51">
        <v>213.0</v>
      </c>
      <c r="D90" s="51" t="s">
        <v>24</v>
      </c>
      <c r="E90" s="51" t="s">
        <v>26</v>
      </c>
      <c r="F90" s="51" t="s">
        <v>299</v>
      </c>
      <c r="G90" s="51" t="s">
        <v>300</v>
      </c>
      <c r="H90" s="52">
        <v>1.076026448622526</v>
      </c>
      <c r="I90" s="52">
        <v>1.0870083592214874</v>
      </c>
      <c r="J90" s="52">
        <v>99.89</v>
      </c>
      <c r="K90" s="52">
        <f t="shared" si="25"/>
        <v>0.518896418</v>
      </c>
      <c r="L90" s="52">
        <f t="shared" si="2"/>
        <v>1.556689254</v>
      </c>
      <c r="M90" s="52">
        <v>0.0</v>
      </c>
      <c r="N90" s="52">
        <v>0.0</v>
      </c>
      <c r="O90" s="52">
        <v>0.0</v>
      </c>
      <c r="P90" s="52">
        <v>0.0</v>
      </c>
      <c r="Q90" s="52">
        <v>37.35</v>
      </c>
      <c r="R90" s="52">
        <v>0.01</v>
      </c>
      <c r="S90" s="52">
        <f t="shared" si="3"/>
        <v>0</v>
      </c>
      <c r="T90" s="52">
        <f t="shared" si="4"/>
        <v>0</v>
      </c>
      <c r="U90" s="52">
        <f t="shared" si="5"/>
        <v>0</v>
      </c>
      <c r="V90" s="52">
        <f t="shared" si="6"/>
        <v>0</v>
      </c>
      <c r="W90" s="52">
        <f t="shared" si="7"/>
        <v>0.4059976222</v>
      </c>
      <c r="X90" s="52">
        <f t="shared" si="8"/>
        <v>0.0001087008359</v>
      </c>
    </row>
    <row r="91" ht="15.0" customHeight="1">
      <c r="A91" s="51">
        <v>24.0</v>
      </c>
      <c r="B91" s="51" t="s">
        <v>61</v>
      </c>
      <c r="C91" s="51">
        <v>188.0</v>
      </c>
      <c r="D91" s="51" t="s">
        <v>16</v>
      </c>
      <c r="E91" s="51" t="s">
        <v>19</v>
      </c>
      <c r="F91" s="51" t="s">
        <v>299</v>
      </c>
      <c r="G91" s="51" t="s">
        <v>300</v>
      </c>
      <c r="H91" s="52">
        <v>39.46743488438009</v>
      </c>
      <c r="I91" s="52">
        <v>49.41999999999999</v>
      </c>
      <c r="J91" s="52">
        <v>87.78</v>
      </c>
      <c r="K91" s="52">
        <f t="shared" ref="K91:K94" si="26">IF(J91&gt;0,(I91/J91)/SUMPRODUCT($I$91:$I$94/$J$91:$J$94)*100,"")</f>
        <v>50.25291473</v>
      </c>
      <c r="L91" s="52">
        <f t="shared" si="2"/>
        <v>150.7587442</v>
      </c>
      <c r="M91" s="52">
        <v>9.1</v>
      </c>
      <c r="N91" s="52">
        <v>86.03</v>
      </c>
      <c r="O91" s="52">
        <v>14.39</v>
      </c>
      <c r="P91" s="52">
        <v>4.18</v>
      </c>
      <c r="Q91" s="52">
        <v>0.03</v>
      </c>
      <c r="R91" s="52">
        <v>0.25</v>
      </c>
      <c r="S91" s="52">
        <f t="shared" si="3"/>
        <v>4.49722</v>
      </c>
      <c r="T91" s="52">
        <f t="shared" si="4"/>
        <v>42.516026</v>
      </c>
      <c r="U91" s="52">
        <f t="shared" si="5"/>
        <v>7.111538</v>
      </c>
      <c r="V91" s="52">
        <f t="shared" si="6"/>
        <v>2.065756</v>
      </c>
      <c r="W91" s="52">
        <f t="shared" si="7"/>
        <v>0.014826</v>
      </c>
      <c r="X91" s="52">
        <f t="shared" si="8"/>
        <v>0.12355</v>
      </c>
    </row>
    <row r="92" ht="15.0" customHeight="1">
      <c r="A92" s="51">
        <v>24.0</v>
      </c>
      <c r="B92" s="51" t="s">
        <v>61</v>
      </c>
      <c r="C92" s="51">
        <v>173.0</v>
      </c>
      <c r="D92" s="51" t="s">
        <v>16</v>
      </c>
      <c r="E92" s="51" t="s">
        <v>52</v>
      </c>
      <c r="F92" s="51" t="s">
        <v>299</v>
      </c>
      <c r="G92" s="51" t="s">
        <v>300</v>
      </c>
      <c r="H92" s="52">
        <v>52.309147805711454</v>
      </c>
      <c r="I92" s="52">
        <v>47.88999999999999</v>
      </c>
      <c r="J92" s="52">
        <v>90.57</v>
      </c>
      <c r="K92" s="52">
        <f t="shared" si="26"/>
        <v>47.19701813</v>
      </c>
      <c r="L92" s="52">
        <f t="shared" si="2"/>
        <v>141.5910544</v>
      </c>
      <c r="M92" s="52">
        <v>14.21</v>
      </c>
      <c r="N92" s="52">
        <v>75.24</v>
      </c>
      <c r="O92" s="52">
        <v>27.69</v>
      </c>
      <c r="P92" s="52">
        <v>5.13</v>
      </c>
      <c r="Q92" s="52">
        <v>0.13</v>
      </c>
      <c r="R92" s="52">
        <v>0.35</v>
      </c>
      <c r="S92" s="52">
        <f t="shared" si="3"/>
        <v>6.805169</v>
      </c>
      <c r="T92" s="52">
        <f t="shared" si="4"/>
        <v>36.032436</v>
      </c>
      <c r="U92" s="52">
        <f t="shared" si="5"/>
        <v>13.260741</v>
      </c>
      <c r="V92" s="52">
        <f t="shared" si="6"/>
        <v>2.456757</v>
      </c>
      <c r="W92" s="52">
        <f t="shared" si="7"/>
        <v>0.062257</v>
      </c>
      <c r="X92" s="52">
        <f t="shared" si="8"/>
        <v>0.167615</v>
      </c>
    </row>
    <row r="93" ht="15.0" customHeight="1">
      <c r="A93" s="51">
        <v>24.0</v>
      </c>
      <c r="B93" s="51" t="s">
        <v>61</v>
      </c>
      <c r="C93" s="51">
        <v>208.0</v>
      </c>
      <c r="D93" s="51" t="s">
        <v>22</v>
      </c>
      <c r="E93" s="51" t="s">
        <v>23</v>
      </c>
      <c r="F93" s="51" t="s">
        <v>299</v>
      </c>
      <c r="G93" s="51" t="s">
        <v>300</v>
      </c>
      <c r="H93" s="52">
        <v>7.395231336817758</v>
      </c>
      <c r="I93" s="52">
        <v>1.2699999999999998</v>
      </c>
      <c r="J93" s="52">
        <v>88.48</v>
      </c>
      <c r="K93" s="52">
        <f t="shared" si="26"/>
        <v>1.281187518</v>
      </c>
      <c r="L93" s="52">
        <f t="shared" si="2"/>
        <v>3.843562554</v>
      </c>
      <c r="M93" s="52">
        <v>48.76</v>
      </c>
      <c r="N93" s="52">
        <v>80.73</v>
      </c>
      <c r="O93" s="52">
        <v>15.37</v>
      </c>
      <c r="P93" s="52">
        <v>1.75</v>
      </c>
      <c r="Q93" s="52">
        <v>0.33</v>
      </c>
      <c r="R93" s="52">
        <v>0.57</v>
      </c>
      <c r="S93" s="52">
        <f t="shared" si="3"/>
        <v>0.619252</v>
      </c>
      <c r="T93" s="52">
        <f t="shared" si="4"/>
        <v>1.025271</v>
      </c>
      <c r="U93" s="52">
        <f t="shared" si="5"/>
        <v>0.195199</v>
      </c>
      <c r="V93" s="52">
        <f t="shared" si="6"/>
        <v>0.022225</v>
      </c>
      <c r="W93" s="52">
        <f t="shared" si="7"/>
        <v>0.004191</v>
      </c>
      <c r="X93" s="52">
        <f t="shared" si="8"/>
        <v>0.007239</v>
      </c>
    </row>
    <row r="94" ht="15.0" customHeight="1">
      <c r="A94" s="51">
        <v>24.0</v>
      </c>
      <c r="B94" s="51" t="s">
        <v>61</v>
      </c>
      <c r="C94" s="51">
        <v>213.0</v>
      </c>
      <c r="D94" s="51" t="s">
        <v>24</v>
      </c>
      <c r="E94" s="51" t="s">
        <v>26</v>
      </c>
      <c r="F94" s="51" t="s">
        <v>299</v>
      </c>
      <c r="G94" s="51" t="s">
        <v>300</v>
      </c>
      <c r="H94" s="52">
        <v>0.8281859730907053</v>
      </c>
      <c r="I94" s="52">
        <v>1.4199999999999997</v>
      </c>
      <c r="J94" s="52">
        <v>99.89</v>
      </c>
      <c r="K94" s="52">
        <f t="shared" si="26"/>
        <v>1.268879623</v>
      </c>
      <c r="L94" s="52">
        <f t="shared" si="2"/>
        <v>3.806638869</v>
      </c>
      <c r="M94" s="52">
        <v>0.0</v>
      </c>
      <c r="N94" s="52">
        <v>0.0</v>
      </c>
      <c r="O94" s="52">
        <v>0.0</v>
      </c>
      <c r="P94" s="52">
        <v>0.0</v>
      </c>
      <c r="Q94" s="52">
        <v>37.35</v>
      </c>
      <c r="R94" s="52">
        <v>0.01</v>
      </c>
      <c r="S94" s="52">
        <f t="shared" si="3"/>
        <v>0</v>
      </c>
      <c r="T94" s="52">
        <f t="shared" si="4"/>
        <v>0</v>
      </c>
      <c r="U94" s="52">
        <f t="shared" si="5"/>
        <v>0</v>
      </c>
      <c r="V94" s="52">
        <f t="shared" si="6"/>
        <v>0</v>
      </c>
      <c r="W94" s="52">
        <f t="shared" si="7"/>
        <v>0.53037</v>
      </c>
      <c r="X94" s="52">
        <f t="shared" si="8"/>
        <v>0.000142</v>
      </c>
    </row>
    <row r="95" ht="15.0" customHeight="1">
      <c r="A95" s="51">
        <v>25.0</v>
      </c>
      <c r="B95" s="51" t="s">
        <v>61</v>
      </c>
      <c r="C95" s="51">
        <v>188.0</v>
      </c>
      <c r="D95" s="51" t="s">
        <v>16</v>
      </c>
      <c r="E95" s="51" t="s">
        <v>19</v>
      </c>
      <c r="F95" s="51" t="s">
        <v>299</v>
      </c>
      <c r="G95" s="51" t="s">
        <v>300</v>
      </c>
      <c r="H95" s="52">
        <v>76.73745481416498</v>
      </c>
      <c r="I95" s="52">
        <v>82.99286536106035</v>
      </c>
      <c r="J95" s="52">
        <v>87.78</v>
      </c>
      <c r="K95" s="52">
        <f t="shared" ref="K95:K97" si="27">IF(J95&gt;0,(I95/J95)/SUMPRODUCT($I$95:$I$97/$J$95:$J$97)*100,"")</f>
        <v>83.25233106</v>
      </c>
      <c r="L95" s="52">
        <f t="shared" si="2"/>
        <v>249.7569932</v>
      </c>
      <c r="M95" s="52">
        <v>9.1</v>
      </c>
      <c r="N95" s="52">
        <v>86.03</v>
      </c>
      <c r="O95" s="52">
        <v>14.39</v>
      </c>
      <c r="P95" s="52">
        <v>4.18</v>
      </c>
      <c r="Q95" s="52">
        <v>0.03</v>
      </c>
      <c r="R95" s="52">
        <v>0.25</v>
      </c>
      <c r="S95" s="52">
        <f t="shared" si="3"/>
        <v>7.552350748</v>
      </c>
      <c r="T95" s="52">
        <f t="shared" si="4"/>
        <v>71.39876207</v>
      </c>
      <c r="U95" s="52">
        <f t="shared" si="5"/>
        <v>11.94267333</v>
      </c>
      <c r="V95" s="52">
        <f t="shared" si="6"/>
        <v>3.469101772</v>
      </c>
      <c r="W95" s="52">
        <f t="shared" si="7"/>
        <v>0.02489785961</v>
      </c>
      <c r="X95" s="52">
        <f t="shared" si="8"/>
        <v>0.2074821634</v>
      </c>
    </row>
    <row r="96" ht="15.0" customHeight="1">
      <c r="A96" s="51">
        <v>25.0</v>
      </c>
      <c r="B96" s="51" t="s">
        <v>61</v>
      </c>
      <c r="C96" s="51">
        <v>208.0</v>
      </c>
      <c r="D96" s="51" t="s">
        <v>22</v>
      </c>
      <c r="E96" s="51" t="s">
        <v>23</v>
      </c>
      <c r="F96" s="51" t="s">
        <v>299</v>
      </c>
      <c r="G96" s="51" t="s">
        <v>300</v>
      </c>
      <c r="H96" s="52">
        <v>22.187074013489163</v>
      </c>
      <c r="I96" s="52">
        <v>15.444227874426492</v>
      </c>
      <c r="J96" s="52">
        <v>88.48</v>
      </c>
      <c r="K96" s="52">
        <f t="shared" si="27"/>
        <v>15.36994477</v>
      </c>
      <c r="L96" s="52">
        <f t="shared" si="2"/>
        <v>46.10983431</v>
      </c>
      <c r="M96" s="52">
        <v>48.76</v>
      </c>
      <c r="N96" s="52">
        <v>80.73</v>
      </c>
      <c r="O96" s="52">
        <v>15.37</v>
      </c>
      <c r="P96" s="52">
        <v>1.75</v>
      </c>
      <c r="Q96" s="52">
        <v>0.33</v>
      </c>
      <c r="R96" s="52">
        <v>0.57</v>
      </c>
      <c r="S96" s="52">
        <f t="shared" si="3"/>
        <v>7.530605512</v>
      </c>
      <c r="T96" s="52">
        <f t="shared" si="4"/>
        <v>12.46812516</v>
      </c>
      <c r="U96" s="52">
        <f t="shared" si="5"/>
        <v>2.373777824</v>
      </c>
      <c r="V96" s="52">
        <f t="shared" si="6"/>
        <v>0.2702739878</v>
      </c>
      <c r="W96" s="52">
        <f t="shared" si="7"/>
        <v>0.05096595199</v>
      </c>
      <c r="X96" s="52">
        <f t="shared" si="8"/>
        <v>0.08803209888</v>
      </c>
    </row>
    <row r="97" ht="15.0" customHeight="1">
      <c r="A97" s="51">
        <v>25.0</v>
      </c>
      <c r="B97" s="51" t="s">
        <v>61</v>
      </c>
      <c r="C97" s="51">
        <v>213.0</v>
      </c>
      <c r="D97" s="51" t="s">
        <v>24</v>
      </c>
      <c r="E97" s="51" t="s">
        <v>26</v>
      </c>
      <c r="F97" s="51" t="s">
        <v>299</v>
      </c>
      <c r="G97" s="51" t="s">
        <v>300</v>
      </c>
      <c r="H97" s="52">
        <v>1.0754711723458659</v>
      </c>
      <c r="I97" s="52">
        <v>1.562906764513158</v>
      </c>
      <c r="J97" s="52">
        <v>99.89</v>
      </c>
      <c r="K97" s="52">
        <f t="shared" si="27"/>
        <v>1.377724171</v>
      </c>
      <c r="L97" s="52">
        <f t="shared" si="2"/>
        <v>4.133172513</v>
      </c>
      <c r="M97" s="52">
        <v>0.0</v>
      </c>
      <c r="N97" s="52">
        <v>0.0</v>
      </c>
      <c r="O97" s="52">
        <v>0.0</v>
      </c>
      <c r="P97" s="52">
        <v>0.0</v>
      </c>
      <c r="Q97" s="52">
        <v>37.35</v>
      </c>
      <c r="R97" s="52">
        <v>0.01</v>
      </c>
      <c r="S97" s="52">
        <f t="shared" si="3"/>
        <v>0</v>
      </c>
      <c r="T97" s="52">
        <f t="shared" si="4"/>
        <v>0</v>
      </c>
      <c r="U97" s="52">
        <f t="shared" si="5"/>
        <v>0</v>
      </c>
      <c r="V97" s="52">
        <f t="shared" si="6"/>
        <v>0</v>
      </c>
      <c r="W97" s="52">
        <f t="shared" si="7"/>
        <v>0.5837456765</v>
      </c>
      <c r="X97" s="52">
        <f t="shared" si="8"/>
        <v>0.0001562906765</v>
      </c>
    </row>
    <row r="98" ht="15.0" customHeight="1">
      <c r="A98" s="51">
        <v>28.0</v>
      </c>
      <c r="B98" s="51" t="s">
        <v>259</v>
      </c>
      <c r="C98" s="51">
        <v>168.0</v>
      </c>
      <c r="D98" s="51" t="s">
        <v>18</v>
      </c>
      <c r="E98" s="51" t="s">
        <v>20</v>
      </c>
      <c r="F98" s="51" t="s">
        <v>314</v>
      </c>
      <c r="G98" s="51" t="s">
        <v>300</v>
      </c>
      <c r="H98" s="52">
        <v>20.0</v>
      </c>
      <c r="I98" s="52">
        <v>50.0</v>
      </c>
      <c r="J98" s="52">
        <v>31.59</v>
      </c>
      <c r="K98" s="52">
        <f t="shared" ref="K98:K104" si="28">IF(J98&gt;0,(I98/J98)/SUMPRODUCT($I$98:$I$104/$J$98:$J$104)*100,"")</f>
        <v>73.67098641</v>
      </c>
      <c r="L98" s="52">
        <f t="shared" si="2"/>
        <v>221.0129592</v>
      </c>
      <c r="M98" s="52">
        <v>7.27</v>
      </c>
      <c r="N98" s="52">
        <v>63.13</v>
      </c>
      <c r="O98" s="52">
        <v>55.27</v>
      </c>
      <c r="P98" s="52">
        <v>3.13</v>
      </c>
      <c r="Q98" s="52">
        <v>0.3</v>
      </c>
      <c r="R98" s="52">
        <v>0.19</v>
      </c>
      <c r="S98" s="52">
        <f t="shared" si="3"/>
        <v>3.635</v>
      </c>
      <c r="T98" s="52">
        <f t="shared" si="4"/>
        <v>31.565</v>
      </c>
      <c r="U98" s="52">
        <f t="shared" si="5"/>
        <v>27.635</v>
      </c>
      <c r="V98" s="52">
        <f t="shared" si="6"/>
        <v>1.565</v>
      </c>
      <c r="W98" s="52">
        <f t="shared" si="7"/>
        <v>0.15</v>
      </c>
      <c r="X98" s="52">
        <f t="shared" si="8"/>
        <v>0.095</v>
      </c>
    </row>
    <row r="99" ht="15.0" customHeight="1">
      <c r="A99" s="51">
        <v>28.0</v>
      </c>
      <c r="B99" s="51" t="s">
        <v>259</v>
      </c>
      <c r="C99" s="51">
        <v>188.0</v>
      </c>
      <c r="D99" s="51" t="s">
        <v>16</v>
      </c>
      <c r="E99" s="51" t="s">
        <v>19</v>
      </c>
      <c r="F99" s="51" t="s">
        <v>299</v>
      </c>
      <c r="G99" s="51" t="s">
        <v>300</v>
      </c>
      <c r="H99" s="52">
        <v>27.47335538958959</v>
      </c>
      <c r="I99" s="52">
        <v>5.264585092756501</v>
      </c>
      <c r="J99" s="52">
        <v>87.78</v>
      </c>
      <c r="K99" s="52">
        <f t="shared" si="28"/>
        <v>2.791545299</v>
      </c>
      <c r="L99" s="52">
        <f t="shared" si="2"/>
        <v>8.374635896</v>
      </c>
      <c r="M99" s="52">
        <v>9.1</v>
      </c>
      <c r="N99" s="52">
        <v>86.03</v>
      </c>
      <c r="O99" s="52">
        <v>14.39</v>
      </c>
      <c r="P99" s="52">
        <v>4.18</v>
      </c>
      <c r="Q99" s="52">
        <v>0.03</v>
      </c>
      <c r="R99" s="52">
        <v>0.25</v>
      </c>
      <c r="S99" s="52">
        <f t="shared" si="3"/>
        <v>0.4790772434</v>
      </c>
      <c r="T99" s="52">
        <f t="shared" si="4"/>
        <v>4.529122555</v>
      </c>
      <c r="U99" s="52">
        <f t="shared" si="5"/>
        <v>0.7575737948</v>
      </c>
      <c r="V99" s="52">
        <f t="shared" si="6"/>
        <v>0.2200596569</v>
      </c>
      <c r="W99" s="52">
        <f t="shared" si="7"/>
        <v>0.001579375528</v>
      </c>
      <c r="X99" s="52">
        <f t="shared" si="8"/>
        <v>0.01316146273</v>
      </c>
    </row>
    <row r="100" ht="15.0" customHeight="1">
      <c r="A100" s="51">
        <v>28.0</v>
      </c>
      <c r="B100" s="51" t="s">
        <v>259</v>
      </c>
      <c r="C100" s="51">
        <v>208.0</v>
      </c>
      <c r="D100" s="51" t="s">
        <v>22</v>
      </c>
      <c r="E100" s="51" t="s">
        <v>23</v>
      </c>
      <c r="F100" s="51" t="s">
        <v>299</v>
      </c>
      <c r="G100" s="51" t="s">
        <v>300</v>
      </c>
      <c r="H100" s="52">
        <v>13.033740494943554</v>
      </c>
      <c r="I100" s="52">
        <v>20.036019254852715</v>
      </c>
      <c r="J100" s="52">
        <v>88.48</v>
      </c>
      <c r="K100" s="52">
        <f t="shared" si="28"/>
        <v>10.54004422</v>
      </c>
      <c r="L100" s="52">
        <f t="shared" si="2"/>
        <v>31.62013265</v>
      </c>
      <c r="M100" s="52">
        <v>48.76</v>
      </c>
      <c r="N100" s="52">
        <v>80.73</v>
      </c>
      <c r="O100" s="52">
        <v>15.37</v>
      </c>
      <c r="P100" s="52">
        <v>1.75</v>
      </c>
      <c r="Q100" s="52">
        <v>0.33</v>
      </c>
      <c r="R100" s="52">
        <v>0.57</v>
      </c>
      <c r="S100" s="52">
        <f t="shared" si="3"/>
        <v>9.769562989</v>
      </c>
      <c r="T100" s="52">
        <f t="shared" si="4"/>
        <v>16.17507834</v>
      </c>
      <c r="U100" s="52">
        <f t="shared" si="5"/>
        <v>3.079536159</v>
      </c>
      <c r="V100" s="52">
        <f t="shared" si="6"/>
        <v>0.350630337</v>
      </c>
      <c r="W100" s="52">
        <f t="shared" si="7"/>
        <v>0.06611886354</v>
      </c>
      <c r="X100" s="52">
        <f t="shared" si="8"/>
        <v>0.1142053098</v>
      </c>
    </row>
    <row r="101" ht="15.0" customHeight="1">
      <c r="A101" s="51">
        <v>28.0</v>
      </c>
      <c r="B101" s="51" t="s">
        <v>259</v>
      </c>
      <c r="C101" s="51">
        <v>226.0</v>
      </c>
      <c r="D101" s="51" t="s">
        <v>22</v>
      </c>
      <c r="E101" s="51" t="s">
        <v>66</v>
      </c>
      <c r="F101" s="51" t="s">
        <v>299</v>
      </c>
      <c r="G101" s="51" t="s">
        <v>300</v>
      </c>
      <c r="H101" s="52">
        <v>8.608200777498467</v>
      </c>
      <c r="I101" s="52">
        <v>7.820949986243271</v>
      </c>
      <c r="J101" s="52">
        <v>86.0</v>
      </c>
      <c r="K101" s="52">
        <f t="shared" si="28"/>
        <v>4.232891766</v>
      </c>
      <c r="L101" s="52">
        <f t="shared" si="2"/>
        <v>12.6986753</v>
      </c>
      <c r="M101" s="52">
        <v>30.0</v>
      </c>
      <c r="N101" s="52">
        <v>90.0</v>
      </c>
      <c r="O101" s="52">
        <v>33.7</v>
      </c>
      <c r="P101" s="52">
        <v>3.0</v>
      </c>
      <c r="Q101" s="52">
        <v>0.06</v>
      </c>
      <c r="R101" s="52">
        <v>0.8</v>
      </c>
      <c r="S101" s="52">
        <f t="shared" si="3"/>
        <v>2.346284996</v>
      </c>
      <c r="T101" s="52">
        <f t="shared" si="4"/>
        <v>7.038854988</v>
      </c>
      <c r="U101" s="52">
        <f t="shared" si="5"/>
        <v>2.635660145</v>
      </c>
      <c r="V101" s="52">
        <f t="shared" si="6"/>
        <v>0.2346284996</v>
      </c>
      <c r="W101" s="52">
        <f t="shared" si="7"/>
        <v>0.004692569992</v>
      </c>
      <c r="X101" s="52">
        <f t="shared" si="8"/>
        <v>0.06256759989</v>
      </c>
    </row>
    <row r="102" ht="15.0" customHeight="1">
      <c r="A102" s="51">
        <v>28.0</v>
      </c>
      <c r="B102" s="51" t="s">
        <v>259</v>
      </c>
      <c r="C102" s="51">
        <v>192.0</v>
      </c>
      <c r="D102" s="51" t="s">
        <v>16</v>
      </c>
      <c r="E102" s="51" t="s">
        <v>17</v>
      </c>
      <c r="F102" s="51" t="s">
        <v>299</v>
      </c>
      <c r="G102" s="51" t="s">
        <v>300</v>
      </c>
      <c r="H102" s="52">
        <v>29.159371345892065</v>
      </c>
      <c r="I102" s="52">
        <v>14.292894035564704</v>
      </c>
      <c r="J102" s="52">
        <v>88.05</v>
      </c>
      <c r="K102" s="52">
        <f t="shared" si="28"/>
        <v>7.555564546</v>
      </c>
      <c r="L102" s="52">
        <f t="shared" si="2"/>
        <v>22.66669364</v>
      </c>
      <c r="M102" s="52">
        <v>17.12</v>
      </c>
      <c r="N102" s="52">
        <v>71.35</v>
      </c>
      <c r="O102" s="52">
        <v>43.96</v>
      </c>
      <c r="P102" s="52">
        <v>3.58</v>
      </c>
      <c r="Q102" s="52">
        <v>0.19</v>
      </c>
      <c r="R102" s="52">
        <v>0.95</v>
      </c>
      <c r="S102" s="52">
        <f t="shared" si="3"/>
        <v>2.446943459</v>
      </c>
      <c r="T102" s="52">
        <f t="shared" si="4"/>
        <v>10.19797989</v>
      </c>
      <c r="U102" s="52">
        <f t="shared" si="5"/>
        <v>6.283156218</v>
      </c>
      <c r="V102" s="52">
        <f t="shared" si="6"/>
        <v>0.5116856065</v>
      </c>
      <c r="W102" s="52">
        <f t="shared" si="7"/>
        <v>0.02715649867</v>
      </c>
      <c r="X102" s="52">
        <f t="shared" si="8"/>
        <v>0.1357824933</v>
      </c>
    </row>
    <row r="103" ht="15.0" customHeight="1">
      <c r="A103" s="51">
        <v>28.0</v>
      </c>
      <c r="B103" s="51" t="s">
        <v>259</v>
      </c>
      <c r="C103" s="51">
        <v>213.0</v>
      </c>
      <c r="D103" s="51" t="s">
        <v>24</v>
      </c>
      <c r="E103" s="51" t="s">
        <v>26</v>
      </c>
      <c r="F103" s="51" t="s">
        <v>299</v>
      </c>
      <c r="G103" s="51" t="s">
        <v>300</v>
      </c>
      <c r="H103" s="52">
        <v>1.625331992076327</v>
      </c>
      <c r="I103" s="52">
        <v>1.5855516305828092</v>
      </c>
      <c r="J103" s="52">
        <v>99.89</v>
      </c>
      <c r="K103" s="52">
        <f t="shared" si="28"/>
        <v>0.7388129205</v>
      </c>
      <c r="L103" s="52">
        <f t="shared" si="2"/>
        <v>2.216438762</v>
      </c>
      <c r="M103" s="52">
        <v>0.0</v>
      </c>
      <c r="N103" s="52">
        <v>0.0</v>
      </c>
      <c r="O103" s="52">
        <v>0.0</v>
      </c>
      <c r="P103" s="52">
        <v>0.0</v>
      </c>
      <c r="Q103" s="52">
        <v>37.35</v>
      </c>
      <c r="R103" s="52">
        <v>0.01</v>
      </c>
      <c r="S103" s="52">
        <f t="shared" si="3"/>
        <v>0</v>
      </c>
      <c r="T103" s="52">
        <f t="shared" si="4"/>
        <v>0</v>
      </c>
      <c r="U103" s="52">
        <f t="shared" si="5"/>
        <v>0</v>
      </c>
      <c r="V103" s="52">
        <f t="shared" si="6"/>
        <v>0</v>
      </c>
      <c r="W103" s="52">
        <f t="shared" si="7"/>
        <v>0.592203534</v>
      </c>
      <c r="X103" s="52">
        <f t="shared" si="8"/>
        <v>0.0001585551631</v>
      </c>
    </row>
    <row r="104" ht="15.0" customHeight="1">
      <c r="A104" s="51">
        <v>28.0</v>
      </c>
      <c r="B104" s="51" t="s">
        <v>259</v>
      </c>
      <c r="C104" s="51">
        <v>227.0</v>
      </c>
      <c r="D104" s="51" t="s">
        <v>24</v>
      </c>
      <c r="E104" s="51" t="s">
        <v>70</v>
      </c>
      <c r="F104" s="51" t="s">
        <v>299</v>
      </c>
      <c r="G104" s="51" t="s">
        <v>300</v>
      </c>
      <c r="H104" s="52">
        <v>0.1</v>
      </c>
      <c r="I104" s="52">
        <v>1.0</v>
      </c>
      <c r="J104" s="52">
        <v>99.0</v>
      </c>
      <c r="K104" s="52">
        <f t="shared" si="28"/>
        <v>0.4701548405</v>
      </c>
      <c r="L104" s="52">
        <f t="shared" si="2"/>
        <v>1.410464522</v>
      </c>
      <c r="M104" s="52">
        <v>0.0</v>
      </c>
      <c r="N104" s="52">
        <v>0.0</v>
      </c>
      <c r="O104" s="52">
        <v>0.0</v>
      </c>
      <c r="P104" s="52">
        <v>0.0</v>
      </c>
      <c r="Q104" s="52">
        <v>0.0</v>
      </c>
      <c r="R104" s="52">
        <v>0.0</v>
      </c>
      <c r="S104" s="52">
        <f t="shared" si="3"/>
        <v>0</v>
      </c>
      <c r="T104" s="52">
        <f t="shared" si="4"/>
        <v>0</v>
      </c>
      <c r="U104" s="52">
        <f t="shared" si="5"/>
        <v>0</v>
      </c>
      <c r="V104" s="52">
        <f t="shared" si="6"/>
        <v>0</v>
      </c>
      <c r="W104" s="52">
        <f t="shared" si="7"/>
        <v>0</v>
      </c>
      <c r="X104" s="52">
        <f t="shared" si="8"/>
        <v>0</v>
      </c>
    </row>
    <row r="105" ht="15.0" customHeight="1">
      <c r="A105" s="51">
        <v>28.0</v>
      </c>
      <c r="B105" s="51" t="s">
        <v>266</v>
      </c>
      <c r="C105" s="51">
        <v>168.0</v>
      </c>
      <c r="D105" s="51" t="s">
        <v>18</v>
      </c>
      <c r="E105" s="51" t="s">
        <v>20</v>
      </c>
      <c r="F105" s="51" t="s">
        <v>314</v>
      </c>
      <c r="G105" s="51" t="s">
        <v>300</v>
      </c>
      <c r="H105" s="52">
        <v>20.0</v>
      </c>
      <c r="I105" s="52">
        <v>27.225000000000005</v>
      </c>
      <c r="J105" s="52">
        <v>31.59</v>
      </c>
      <c r="K105" s="52">
        <f t="shared" ref="K105:K111" si="29">IF(J105&gt;0,(I105/J105)/SUMPRODUCT($I$105:$I$111/$J$105:$J$111)*100,"")</f>
        <v>51.10867276</v>
      </c>
      <c r="L105" s="52">
        <f t="shared" si="2"/>
        <v>153.3260183</v>
      </c>
      <c r="M105" s="52">
        <v>7.27</v>
      </c>
      <c r="N105" s="52">
        <v>63.13</v>
      </c>
      <c r="O105" s="52">
        <v>55.27</v>
      </c>
      <c r="P105" s="52">
        <v>3.13</v>
      </c>
      <c r="Q105" s="52">
        <v>0.3</v>
      </c>
      <c r="R105" s="52">
        <v>0.19</v>
      </c>
      <c r="S105" s="52">
        <f t="shared" si="3"/>
        <v>1.9792575</v>
      </c>
      <c r="T105" s="52">
        <f t="shared" si="4"/>
        <v>17.1871425</v>
      </c>
      <c r="U105" s="52">
        <f t="shared" si="5"/>
        <v>15.0472575</v>
      </c>
      <c r="V105" s="52">
        <f t="shared" si="6"/>
        <v>0.8521425</v>
      </c>
      <c r="W105" s="52">
        <f t="shared" si="7"/>
        <v>0.081675</v>
      </c>
      <c r="X105" s="52">
        <f t="shared" si="8"/>
        <v>0.0517275</v>
      </c>
    </row>
    <row r="106" ht="15.0" customHeight="1">
      <c r="A106" s="51">
        <v>28.0</v>
      </c>
      <c r="B106" s="51" t="s">
        <v>266</v>
      </c>
      <c r="C106" s="51">
        <v>188.0</v>
      </c>
      <c r="D106" s="51" t="s">
        <v>16</v>
      </c>
      <c r="E106" s="51" t="s">
        <v>19</v>
      </c>
      <c r="F106" s="51" t="s">
        <v>299</v>
      </c>
      <c r="G106" s="51" t="s">
        <v>300</v>
      </c>
      <c r="H106" s="52">
        <v>27.47335538958959</v>
      </c>
      <c r="I106" s="52">
        <v>20.63992681305208</v>
      </c>
      <c r="J106" s="52">
        <v>87.78</v>
      </c>
      <c r="K106" s="52">
        <f t="shared" si="29"/>
        <v>13.94404954</v>
      </c>
      <c r="L106" s="52">
        <f t="shared" si="2"/>
        <v>41.83214861</v>
      </c>
      <c r="M106" s="52">
        <v>9.1</v>
      </c>
      <c r="N106" s="52">
        <v>86.03</v>
      </c>
      <c r="O106" s="52">
        <v>14.39</v>
      </c>
      <c r="P106" s="52">
        <v>4.18</v>
      </c>
      <c r="Q106" s="52">
        <v>0.03</v>
      </c>
      <c r="R106" s="52">
        <v>0.25</v>
      </c>
      <c r="S106" s="52">
        <f t="shared" si="3"/>
        <v>1.87823334</v>
      </c>
      <c r="T106" s="52">
        <f t="shared" si="4"/>
        <v>17.75652904</v>
      </c>
      <c r="U106" s="52">
        <f t="shared" si="5"/>
        <v>2.970085468</v>
      </c>
      <c r="V106" s="52">
        <f t="shared" si="6"/>
        <v>0.8627489408</v>
      </c>
      <c r="W106" s="52">
        <f t="shared" si="7"/>
        <v>0.006191978044</v>
      </c>
      <c r="X106" s="52">
        <f t="shared" si="8"/>
        <v>0.05159981703</v>
      </c>
    </row>
    <row r="107" ht="15.0" customHeight="1">
      <c r="A107" s="51">
        <v>28.0</v>
      </c>
      <c r="B107" s="51" t="s">
        <v>266</v>
      </c>
      <c r="C107" s="51">
        <v>208.0</v>
      </c>
      <c r="D107" s="51" t="s">
        <v>22</v>
      </c>
      <c r="E107" s="51" t="s">
        <v>23</v>
      </c>
      <c r="F107" s="51" t="s">
        <v>299</v>
      </c>
      <c r="G107" s="51" t="s">
        <v>300</v>
      </c>
      <c r="H107" s="52">
        <v>13.033740494943554</v>
      </c>
      <c r="I107" s="52">
        <v>16.953422053493934</v>
      </c>
      <c r="J107" s="52">
        <v>88.48</v>
      </c>
      <c r="K107" s="52">
        <f t="shared" si="29"/>
        <v>11.36288471</v>
      </c>
      <c r="L107" s="52">
        <f t="shared" si="2"/>
        <v>34.08865413</v>
      </c>
      <c r="M107" s="52">
        <v>48.76</v>
      </c>
      <c r="N107" s="52">
        <v>80.73</v>
      </c>
      <c r="O107" s="52">
        <v>15.37</v>
      </c>
      <c r="P107" s="52">
        <v>1.75</v>
      </c>
      <c r="Q107" s="52">
        <v>0.33</v>
      </c>
      <c r="R107" s="52">
        <v>0.57</v>
      </c>
      <c r="S107" s="52">
        <f t="shared" si="3"/>
        <v>8.266488593</v>
      </c>
      <c r="T107" s="52">
        <f t="shared" si="4"/>
        <v>13.68649762</v>
      </c>
      <c r="U107" s="52">
        <f t="shared" si="5"/>
        <v>2.60574097</v>
      </c>
      <c r="V107" s="52">
        <f t="shared" si="6"/>
        <v>0.2966848859</v>
      </c>
      <c r="W107" s="52">
        <f t="shared" si="7"/>
        <v>0.05594629278</v>
      </c>
      <c r="X107" s="52">
        <f t="shared" si="8"/>
        <v>0.0966345057</v>
      </c>
    </row>
    <row r="108" ht="15.0" customHeight="1">
      <c r="A108" s="51">
        <v>28.0</v>
      </c>
      <c r="B108" s="51" t="s">
        <v>266</v>
      </c>
      <c r="C108" s="51">
        <v>226.0</v>
      </c>
      <c r="D108" s="51" t="s">
        <v>22</v>
      </c>
      <c r="E108" s="51" t="s">
        <v>66</v>
      </c>
      <c r="F108" s="51" t="s">
        <v>299</v>
      </c>
      <c r="G108" s="51" t="s">
        <v>300</v>
      </c>
      <c r="H108" s="52">
        <v>8.608200777498467</v>
      </c>
      <c r="I108" s="52">
        <v>8.256726024376656</v>
      </c>
      <c r="J108" s="52">
        <v>86.0</v>
      </c>
      <c r="K108" s="52">
        <f t="shared" si="29"/>
        <v>5.693584404</v>
      </c>
      <c r="L108" s="52">
        <f t="shared" si="2"/>
        <v>17.08075321</v>
      </c>
      <c r="M108" s="52">
        <v>30.0</v>
      </c>
      <c r="N108" s="52">
        <v>90.0</v>
      </c>
      <c r="O108" s="52">
        <v>33.7</v>
      </c>
      <c r="P108" s="52">
        <v>3.0</v>
      </c>
      <c r="Q108" s="52">
        <v>0.06</v>
      </c>
      <c r="R108" s="52">
        <v>0.8</v>
      </c>
      <c r="S108" s="52">
        <f t="shared" si="3"/>
        <v>2.477017807</v>
      </c>
      <c r="T108" s="52">
        <f t="shared" si="4"/>
        <v>7.431053422</v>
      </c>
      <c r="U108" s="52">
        <f t="shared" si="5"/>
        <v>2.78251667</v>
      </c>
      <c r="V108" s="52">
        <f t="shared" si="6"/>
        <v>0.2477017807</v>
      </c>
      <c r="W108" s="52">
        <f t="shared" si="7"/>
        <v>0.004954035615</v>
      </c>
      <c r="X108" s="52">
        <f t="shared" si="8"/>
        <v>0.0660538082</v>
      </c>
    </row>
    <row r="109" ht="15.0" customHeight="1">
      <c r="A109" s="51">
        <v>28.0</v>
      </c>
      <c r="B109" s="51" t="s">
        <v>266</v>
      </c>
      <c r="C109" s="51">
        <v>192.0</v>
      </c>
      <c r="D109" s="51" t="s">
        <v>16</v>
      </c>
      <c r="E109" s="51" t="s">
        <v>17</v>
      </c>
      <c r="F109" s="51" t="s">
        <v>299</v>
      </c>
      <c r="G109" s="51" t="s">
        <v>300</v>
      </c>
      <c r="H109" s="52">
        <v>29.159371345892065</v>
      </c>
      <c r="I109" s="52">
        <v>23.80766031708124</v>
      </c>
      <c r="J109" s="52">
        <v>88.05</v>
      </c>
      <c r="K109" s="52">
        <f t="shared" si="29"/>
        <v>16.03480555</v>
      </c>
      <c r="L109" s="52">
        <f t="shared" si="2"/>
        <v>48.10441664</v>
      </c>
      <c r="M109" s="52">
        <v>17.12</v>
      </c>
      <c r="N109" s="52">
        <v>71.35</v>
      </c>
      <c r="O109" s="52">
        <v>43.96</v>
      </c>
      <c r="P109" s="52">
        <v>3.58</v>
      </c>
      <c r="Q109" s="52">
        <v>0.19</v>
      </c>
      <c r="R109" s="52">
        <v>0.95</v>
      </c>
      <c r="S109" s="52">
        <f t="shared" si="3"/>
        <v>4.075871446</v>
      </c>
      <c r="T109" s="52">
        <f t="shared" si="4"/>
        <v>16.98676564</v>
      </c>
      <c r="U109" s="52">
        <f t="shared" si="5"/>
        <v>10.46584748</v>
      </c>
      <c r="V109" s="52">
        <f t="shared" si="6"/>
        <v>0.8523142394</v>
      </c>
      <c r="W109" s="52">
        <f t="shared" si="7"/>
        <v>0.0452345546</v>
      </c>
      <c r="X109" s="52">
        <f t="shared" si="8"/>
        <v>0.226172773</v>
      </c>
    </row>
    <row r="110" ht="15.0" customHeight="1">
      <c r="A110" s="51">
        <v>28.0</v>
      </c>
      <c r="B110" s="51" t="s">
        <v>266</v>
      </c>
      <c r="C110" s="51">
        <v>213.0</v>
      </c>
      <c r="D110" s="51" t="s">
        <v>24</v>
      </c>
      <c r="E110" s="51" t="s">
        <v>26</v>
      </c>
      <c r="F110" s="51" t="s">
        <v>299</v>
      </c>
      <c r="G110" s="51" t="s">
        <v>300</v>
      </c>
      <c r="H110" s="52">
        <v>1.625331992076327</v>
      </c>
      <c r="I110" s="52">
        <v>2.117264791996078</v>
      </c>
      <c r="J110" s="52">
        <v>99.89</v>
      </c>
      <c r="K110" s="52">
        <f t="shared" si="29"/>
        <v>1.256983286</v>
      </c>
      <c r="L110" s="52">
        <f t="shared" si="2"/>
        <v>3.770949858</v>
      </c>
      <c r="M110" s="52">
        <v>0.0</v>
      </c>
      <c r="N110" s="52">
        <v>0.0</v>
      </c>
      <c r="O110" s="52">
        <v>0.0</v>
      </c>
      <c r="P110" s="52">
        <v>0.0</v>
      </c>
      <c r="Q110" s="52">
        <v>37.35</v>
      </c>
      <c r="R110" s="52">
        <v>0.01</v>
      </c>
      <c r="S110" s="52">
        <f t="shared" si="3"/>
        <v>0</v>
      </c>
      <c r="T110" s="52">
        <f t="shared" si="4"/>
        <v>0</v>
      </c>
      <c r="U110" s="52">
        <f t="shared" si="5"/>
        <v>0</v>
      </c>
      <c r="V110" s="52">
        <f t="shared" si="6"/>
        <v>0</v>
      </c>
      <c r="W110" s="52">
        <f t="shared" si="7"/>
        <v>0.7907983998</v>
      </c>
      <c r="X110" s="52">
        <f t="shared" si="8"/>
        <v>0.0002117264792</v>
      </c>
    </row>
    <row r="111" ht="15.0" customHeight="1">
      <c r="A111" s="51">
        <v>28.0</v>
      </c>
      <c r="B111" s="51" t="s">
        <v>266</v>
      </c>
      <c r="C111" s="51">
        <v>227.0</v>
      </c>
      <c r="D111" s="51" t="s">
        <v>24</v>
      </c>
      <c r="E111" s="51" t="s">
        <v>70</v>
      </c>
      <c r="F111" s="51" t="s">
        <v>299</v>
      </c>
      <c r="G111" s="51" t="s">
        <v>300</v>
      </c>
      <c r="H111" s="52">
        <v>0.1</v>
      </c>
      <c r="I111" s="52">
        <v>1.0</v>
      </c>
      <c r="J111" s="52">
        <v>99.0</v>
      </c>
      <c r="K111" s="52">
        <f t="shared" si="29"/>
        <v>0.5990197559</v>
      </c>
      <c r="L111" s="52">
        <f t="shared" si="2"/>
        <v>1.797059268</v>
      </c>
      <c r="M111" s="52">
        <v>0.0</v>
      </c>
      <c r="N111" s="52">
        <v>0.0</v>
      </c>
      <c r="O111" s="52">
        <v>0.0</v>
      </c>
      <c r="P111" s="52">
        <v>0.0</v>
      </c>
      <c r="Q111" s="52">
        <v>0.0</v>
      </c>
      <c r="R111" s="52">
        <v>0.0</v>
      </c>
      <c r="S111" s="52">
        <f t="shared" si="3"/>
        <v>0</v>
      </c>
      <c r="T111" s="52">
        <f t="shared" si="4"/>
        <v>0</v>
      </c>
      <c r="U111" s="52">
        <f t="shared" si="5"/>
        <v>0</v>
      </c>
      <c r="V111" s="52">
        <f t="shared" si="6"/>
        <v>0</v>
      </c>
      <c r="W111" s="52">
        <f t="shared" si="7"/>
        <v>0</v>
      </c>
      <c r="X111" s="52">
        <f t="shared" si="8"/>
        <v>0</v>
      </c>
    </row>
    <row r="112" ht="15.0" customHeight="1">
      <c r="A112" s="51">
        <v>29.0</v>
      </c>
      <c r="B112" s="51" t="s">
        <v>259</v>
      </c>
      <c r="C112" s="51">
        <v>168.0</v>
      </c>
      <c r="D112" s="51" t="s">
        <v>18</v>
      </c>
      <c r="E112" s="51" t="s">
        <v>20</v>
      </c>
      <c r="F112" s="51" t="s">
        <v>314</v>
      </c>
      <c r="G112" s="51" t="s">
        <v>300</v>
      </c>
      <c r="H112" s="52">
        <v>25.0</v>
      </c>
      <c r="I112" s="52">
        <v>50.0</v>
      </c>
      <c r="J112" s="52">
        <v>31.59</v>
      </c>
      <c r="K112" s="52">
        <f t="shared" ref="K112:K118" si="30">IF(J112&gt;0,(I112/J112)/SUMPRODUCT($I$112:$I$118/$J$112:$J$118)*100,"")</f>
        <v>73.6523476</v>
      </c>
      <c r="L112" s="52">
        <f t="shared" si="2"/>
        <v>220.9570428</v>
      </c>
      <c r="M112" s="52">
        <v>7.27</v>
      </c>
      <c r="N112" s="52">
        <v>63.13</v>
      </c>
      <c r="O112" s="52">
        <v>55.27</v>
      </c>
      <c r="P112" s="52">
        <v>3.13</v>
      </c>
      <c r="Q112" s="52">
        <v>0.3</v>
      </c>
      <c r="R112" s="52">
        <v>0.19</v>
      </c>
      <c r="S112" s="52">
        <f t="shared" si="3"/>
        <v>3.635</v>
      </c>
      <c r="T112" s="52">
        <f t="shared" si="4"/>
        <v>31.565</v>
      </c>
      <c r="U112" s="52">
        <f t="shared" si="5"/>
        <v>27.635</v>
      </c>
      <c r="V112" s="52">
        <f t="shared" si="6"/>
        <v>1.565</v>
      </c>
      <c r="W112" s="52">
        <f t="shared" si="7"/>
        <v>0.15</v>
      </c>
      <c r="X112" s="52">
        <f t="shared" si="8"/>
        <v>0.095</v>
      </c>
    </row>
    <row r="113" ht="15.0" customHeight="1">
      <c r="A113" s="51">
        <v>29.0</v>
      </c>
      <c r="B113" s="51" t="s">
        <v>259</v>
      </c>
      <c r="C113" s="51">
        <v>188.0</v>
      </c>
      <c r="D113" s="51" t="s">
        <v>16</v>
      </c>
      <c r="E113" s="51" t="s">
        <v>19</v>
      </c>
      <c r="F113" s="51" t="s">
        <v>299</v>
      </c>
      <c r="G113" s="51" t="s">
        <v>300</v>
      </c>
      <c r="H113" s="52">
        <v>29.274516005834343</v>
      </c>
      <c r="I113" s="52">
        <v>19.24891634612649</v>
      </c>
      <c r="J113" s="52">
        <v>87.78</v>
      </c>
      <c r="K113" s="52">
        <f t="shared" si="30"/>
        <v>10.20415212</v>
      </c>
      <c r="L113" s="52">
        <f t="shared" si="2"/>
        <v>30.61245636</v>
      </c>
      <c r="M113" s="52">
        <v>9.1</v>
      </c>
      <c r="N113" s="52">
        <v>86.03</v>
      </c>
      <c r="O113" s="52">
        <v>14.39</v>
      </c>
      <c r="P113" s="52">
        <v>4.18</v>
      </c>
      <c r="Q113" s="52">
        <v>0.03</v>
      </c>
      <c r="R113" s="52">
        <v>0.25</v>
      </c>
      <c r="S113" s="52">
        <f t="shared" si="3"/>
        <v>1.751651387</v>
      </c>
      <c r="T113" s="52">
        <f t="shared" si="4"/>
        <v>16.55984273</v>
      </c>
      <c r="U113" s="52">
        <f t="shared" si="5"/>
        <v>2.769919062</v>
      </c>
      <c r="V113" s="52">
        <f t="shared" si="6"/>
        <v>0.8046047033</v>
      </c>
      <c r="W113" s="52">
        <f t="shared" si="7"/>
        <v>0.005774674904</v>
      </c>
      <c r="X113" s="52">
        <f t="shared" si="8"/>
        <v>0.04812229087</v>
      </c>
    </row>
    <row r="114" ht="15.0" customHeight="1">
      <c r="A114" s="51">
        <v>29.0</v>
      </c>
      <c r="B114" s="51" t="s">
        <v>259</v>
      </c>
      <c r="C114" s="51">
        <v>208.0</v>
      </c>
      <c r="D114" s="51" t="s">
        <v>22</v>
      </c>
      <c r="E114" s="51" t="s">
        <v>23</v>
      </c>
      <c r="F114" s="51" t="s">
        <v>299</v>
      </c>
      <c r="G114" s="51" t="s">
        <v>300</v>
      </c>
      <c r="H114" s="52">
        <v>7.212042625269864</v>
      </c>
      <c r="I114" s="52">
        <v>4.530343563284712</v>
      </c>
      <c r="J114" s="52">
        <v>88.48</v>
      </c>
      <c r="K114" s="52">
        <f t="shared" si="30"/>
        <v>2.38260605</v>
      </c>
      <c r="L114" s="52">
        <f t="shared" si="2"/>
        <v>7.147818149</v>
      </c>
      <c r="M114" s="52">
        <v>48.76</v>
      </c>
      <c r="N114" s="52">
        <v>80.73</v>
      </c>
      <c r="O114" s="52">
        <v>15.37</v>
      </c>
      <c r="P114" s="52">
        <v>1.75</v>
      </c>
      <c r="Q114" s="52">
        <v>0.33</v>
      </c>
      <c r="R114" s="52">
        <v>0.57</v>
      </c>
      <c r="S114" s="52">
        <f t="shared" si="3"/>
        <v>2.208995521</v>
      </c>
      <c r="T114" s="52">
        <f t="shared" si="4"/>
        <v>3.657346359</v>
      </c>
      <c r="U114" s="52">
        <f t="shared" si="5"/>
        <v>0.6963138057</v>
      </c>
      <c r="V114" s="52">
        <f t="shared" si="6"/>
        <v>0.07928101236</v>
      </c>
      <c r="W114" s="52">
        <f t="shared" si="7"/>
        <v>0.01495013376</v>
      </c>
      <c r="X114" s="52">
        <f t="shared" si="8"/>
        <v>0.02582295831</v>
      </c>
    </row>
    <row r="115" ht="15.0" customHeight="1">
      <c r="A115" s="51">
        <v>29.0</v>
      </c>
      <c r="B115" s="51" t="s">
        <v>259</v>
      </c>
      <c r="C115" s="51">
        <v>226.0</v>
      </c>
      <c r="D115" s="51" t="s">
        <v>22</v>
      </c>
      <c r="E115" s="51" t="s">
        <v>66</v>
      </c>
      <c r="F115" s="51" t="s">
        <v>299</v>
      </c>
      <c r="G115" s="51" t="s">
        <v>300</v>
      </c>
      <c r="H115" s="52">
        <v>7.19841252895895</v>
      </c>
      <c r="I115" s="52">
        <v>4.504130051272017</v>
      </c>
      <c r="J115" s="52">
        <v>86.0</v>
      </c>
      <c r="K115" s="52">
        <f t="shared" si="30"/>
        <v>2.437129947</v>
      </c>
      <c r="L115" s="52">
        <f t="shared" si="2"/>
        <v>7.31138984</v>
      </c>
      <c r="M115" s="52">
        <v>30.0</v>
      </c>
      <c r="N115" s="52">
        <v>90.0</v>
      </c>
      <c r="O115" s="52">
        <v>33.7</v>
      </c>
      <c r="P115" s="52">
        <v>3.0</v>
      </c>
      <c r="Q115" s="52">
        <v>0.06</v>
      </c>
      <c r="R115" s="52">
        <v>0.8</v>
      </c>
      <c r="S115" s="52">
        <f t="shared" si="3"/>
        <v>1.351239015</v>
      </c>
      <c r="T115" s="52">
        <f t="shared" si="4"/>
        <v>4.053717046</v>
      </c>
      <c r="U115" s="52">
        <f t="shared" si="5"/>
        <v>1.517891827</v>
      </c>
      <c r="V115" s="52">
        <f t="shared" si="6"/>
        <v>0.1351239015</v>
      </c>
      <c r="W115" s="52">
        <f t="shared" si="7"/>
        <v>0.002702478031</v>
      </c>
      <c r="X115" s="52">
        <f t="shared" si="8"/>
        <v>0.03603304041</v>
      </c>
    </row>
    <row r="116" ht="15.0" customHeight="1">
      <c r="A116" s="51">
        <v>29.0</v>
      </c>
      <c r="B116" s="51" t="s">
        <v>259</v>
      </c>
      <c r="C116" s="51">
        <v>192.0</v>
      </c>
      <c r="D116" s="51" t="s">
        <v>16</v>
      </c>
      <c r="E116" s="51" t="s">
        <v>17</v>
      </c>
      <c r="F116" s="51" t="s">
        <v>299</v>
      </c>
      <c r="G116" s="51" t="s">
        <v>300</v>
      </c>
      <c r="H116" s="52">
        <v>29.255414910600464</v>
      </c>
      <c r="I116" s="52">
        <v>19.203333081962</v>
      </c>
      <c r="J116" s="52">
        <v>88.05</v>
      </c>
      <c r="K116" s="52">
        <f t="shared" si="30"/>
        <v>10.1487714</v>
      </c>
      <c r="L116" s="52">
        <f t="shared" si="2"/>
        <v>30.4463142</v>
      </c>
      <c r="M116" s="52">
        <v>17.12</v>
      </c>
      <c r="N116" s="52">
        <v>71.35</v>
      </c>
      <c r="O116" s="52">
        <v>43.96</v>
      </c>
      <c r="P116" s="52">
        <v>3.58</v>
      </c>
      <c r="Q116" s="52">
        <v>0.19</v>
      </c>
      <c r="R116" s="52">
        <v>0.95</v>
      </c>
      <c r="S116" s="52">
        <f t="shared" si="3"/>
        <v>3.287610624</v>
      </c>
      <c r="T116" s="52">
        <f t="shared" si="4"/>
        <v>13.70157815</v>
      </c>
      <c r="U116" s="52">
        <f t="shared" si="5"/>
        <v>8.441785223</v>
      </c>
      <c r="V116" s="52">
        <f t="shared" si="6"/>
        <v>0.6874793243</v>
      </c>
      <c r="W116" s="52">
        <f t="shared" si="7"/>
        <v>0.03648633286</v>
      </c>
      <c r="X116" s="52">
        <f t="shared" si="8"/>
        <v>0.1824316643</v>
      </c>
    </row>
    <row r="117" ht="15.0" customHeight="1">
      <c r="A117" s="51">
        <v>29.0</v>
      </c>
      <c r="B117" s="51" t="s">
        <v>259</v>
      </c>
      <c r="C117" s="51">
        <v>213.0</v>
      </c>
      <c r="D117" s="51" t="s">
        <v>24</v>
      </c>
      <c r="E117" s="51" t="s">
        <v>26</v>
      </c>
      <c r="F117" s="51" t="s">
        <v>299</v>
      </c>
      <c r="G117" s="51" t="s">
        <v>300</v>
      </c>
      <c r="H117" s="52">
        <v>1.4539501953246508</v>
      </c>
      <c r="I117" s="52">
        <v>1.513276957354782</v>
      </c>
      <c r="J117" s="52">
        <v>99.89</v>
      </c>
      <c r="K117" s="52">
        <f t="shared" si="30"/>
        <v>0.7049569909</v>
      </c>
      <c r="L117" s="52">
        <f t="shared" si="2"/>
        <v>2.114870973</v>
      </c>
      <c r="M117" s="52">
        <v>0.0</v>
      </c>
      <c r="N117" s="52">
        <v>0.0</v>
      </c>
      <c r="O117" s="52">
        <v>0.0</v>
      </c>
      <c r="P117" s="52">
        <v>0.0</v>
      </c>
      <c r="Q117" s="52">
        <v>37.35</v>
      </c>
      <c r="R117" s="52">
        <v>0.01</v>
      </c>
      <c r="S117" s="52">
        <f t="shared" si="3"/>
        <v>0</v>
      </c>
      <c r="T117" s="52">
        <f t="shared" si="4"/>
        <v>0</v>
      </c>
      <c r="U117" s="52">
        <f t="shared" si="5"/>
        <v>0</v>
      </c>
      <c r="V117" s="52">
        <f t="shared" si="6"/>
        <v>0</v>
      </c>
      <c r="W117" s="52">
        <f t="shared" si="7"/>
        <v>0.5652089436</v>
      </c>
      <c r="X117" s="52">
        <f t="shared" si="8"/>
        <v>0.0001513276957</v>
      </c>
    </row>
    <row r="118" ht="15.0" customHeight="1">
      <c r="A118" s="51">
        <v>29.0</v>
      </c>
      <c r="B118" s="51" t="s">
        <v>259</v>
      </c>
      <c r="C118" s="51">
        <v>227.0</v>
      </c>
      <c r="D118" s="51" t="s">
        <v>24</v>
      </c>
      <c r="E118" s="51" t="s">
        <v>70</v>
      </c>
      <c r="F118" s="51" t="s">
        <v>299</v>
      </c>
      <c r="G118" s="51" t="s">
        <v>300</v>
      </c>
      <c r="H118" s="52">
        <v>0.6056637340117257</v>
      </c>
      <c r="I118" s="52">
        <v>1.0</v>
      </c>
      <c r="J118" s="52">
        <v>99.0</v>
      </c>
      <c r="K118" s="52">
        <f t="shared" si="30"/>
        <v>0.4700358911</v>
      </c>
      <c r="L118" s="52">
        <f t="shared" si="2"/>
        <v>1.410107673</v>
      </c>
      <c r="M118" s="52">
        <v>0.0</v>
      </c>
      <c r="N118" s="52">
        <v>0.0</v>
      </c>
      <c r="O118" s="52">
        <v>0.0</v>
      </c>
      <c r="P118" s="52">
        <v>0.0</v>
      </c>
      <c r="Q118" s="52">
        <v>0.0</v>
      </c>
      <c r="R118" s="52">
        <v>0.0</v>
      </c>
      <c r="S118" s="52">
        <f t="shared" si="3"/>
        <v>0</v>
      </c>
      <c r="T118" s="52">
        <f t="shared" si="4"/>
        <v>0</v>
      </c>
      <c r="U118" s="52">
        <f t="shared" si="5"/>
        <v>0</v>
      </c>
      <c r="V118" s="52">
        <f t="shared" si="6"/>
        <v>0</v>
      </c>
      <c r="W118" s="52">
        <f t="shared" si="7"/>
        <v>0</v>
      </c>
      <c r="X118" s="52">
        <f t="shared" si="8"/>
        <v>0</v>
      </c>
    </row>
    <row r="119" ht="15.0" customHeight="1">
      <c r="A119" s="51">
        <v>29.0</v>
      </c>
      <c r="B119" s="51" t="s">
        <v>266</v>
      </c>
      <c r="C119" s="51">
        <v>168.0</v>
      </c>
      <c r="D119" s="51" t="s">
        <v>18</v>
      </c>
      <c r="E119" s="51" t="s">
        <v>20</v>
      </c>
      <c r="F119" s="51" t="s">
        <v>314</v>
      </c>
      <c r="G119" s="51" t="s">
        <v>300</v>
      </c>
      <c r="H119" s="52">
        <v>25.0</v>
      </c>
      <c r="I119" s="52">
        <v>22.275000000000002</v>
      </c>
      <c r="J119" s="52">
        <v>31.59</v>
      </c>
      <c r="K119" s="52">
        <f t="shared" ref="K119:K125" si="31">IF(J119&gt;0,(I119/J119)/SUMPRODUCT($I$119:$I$125/$J$119:$J$125)*100,"")</f>
        <v>44.47245264</v>
      </c>
      <c r="L119" s="52">
        <f t="shared" si="2"/>
        <v>133.4173579</v>
      </c>
      <c r="M119" s="52">
        <v>7.27</v>
      </c>
      <c r="N119" s="52">
        <v>63.13</v>
      </c>
      <c r="O119" s="52">
        <v>55.27</v>
      </c>
      <c r="P119" s="52">
        <v>3.13</v>
      </c>
      <c r="Q119" s="52">
        <v>0.3</v>
      </c>
      <c r="R119" s="52">
        <v>0.19</v>
      </c>
      <c r="S119" s="52">
        <f t="shared" si="3"/>
        <v>1.6193925</v>
      </c>
      <c r="T119" s="52">
        <f t="shared" si="4"/>
        <v>14.0622075</v>
      </c>
      <c r="U119" s="52">
        <f t="shared" si="5"/>
        <v>12.3113925</v>
      </c>
      <c r="V119" s="52">
        <f t="shared" si="6"/>
        <v>0.6972075</v>
      </c>
      <c r="W119" s="52">
        <f t="shared" si="7"/>
        <v>0.066825</v>
      </c>
      <c r="X119" s="52">
        <f t="shared" si="8"/>
        <v>0.0423225</v>
      </c>
    </row>
    <row r="120" ht="15.0" customHeight="1">
      <c r="A120" s="51">
        <v>29.0</v>
      </c>
      <c r="B120" s="51" t="s">
        <v>266</v>
      </c>
      <c r="C120" s="51">
        <v>188.0</v>
      </c>
      <c r="D120" s="51" t="s">
        <v>16</v>
      </c>
      <c r="E120" s="51" t="s">
        <v>19</v>
      </c>
      <c r="F120" s="51" t="s">
        <v>299</v>
      </c>
      <c r="G120" s="51" t="s">
        <v>300</v>
      </c>
      <c r="H120" s="52">
        <v>29.274516005834343</v>
      </c>
      <c r="I120" s="52">
        <v>35.020168470815996</v>
      </c>
      <c r="J120" s="52">
        <v>87.78</v>
      </c>
      <c r="K120" s="52">
        <f t="shared" si="31"/>
        <v>25.16202844</v>
      </c>
      <c r="L120" s="52">
        <f t="shared" si="2"/>
        <v>75.48608533</v>
      </c>
      <c r="M120" s="52">
        <v>9.1</v>
      </c>
      <c r="N120" s="52">
        <v>86.03</v>
      </c>
      <c r="O120" s="52">
        <v>14.39</v>
      </c>
      <c r="P120" s="52">
        <v>4.18</v>
      </c>
      <c r="Q120" s="52">
        <v>0.03</v>
      </c>
      <c r="R120" s="52">
        <v>0.25</v>
      </c>
      <c r="S120" s="52">
        <f t="shared" si="3"/>
        <v>3.186835331</v>
      </c>
      <c r="T120" s="52">
        <f t="shared" si="4"/>
        <v>30.12785094</v>
      </c>
      <c r="U120" s="52">
        <f t="shared" si="5"/>
        <v>5.039402243</v>
      </c>
      <c r="V120" s="52">
        <f t="shared" si="6"/>
        <v>1.463843042</v>
      </c>
      <c r="W120" s="52">
        <f t="shared" si="7"/>
        <v>0.01050605054</v>
      </c>
      <c r="X120" s="52">
        <f t="shared" si="8"/>
        <v>0.08755042118</v>
      </c>
    </row>
    <row r="121" ht="15.0" customHeight="1">
      <c r="A121" s="51">
        <v>29.0</v>
      </c>
      <c r="B121" s="51" t="s">
        <v>266</v>
      </c>
      <c r="C121" s="51">
        <v>208.0</v>
      </c>
      <c r="D121" s="51" t="s">
        <v>22</v>
      </c>
      <c r="E121" s="51" t="s">
        <v>23</v>
      </c>
      <c r="F121" s="51" t="s">
        <v>299</v>
      </c>
      <c r="G121" s="51" t="s">
        <v>300</v>
      </c>
      <c r="H121" s="52">
        <v>7.212042625269864</v>
      </c>
      <c r="I121" s="52">
        <v>0.1</v>
      </c>
      <c r="J121" s="52">
        <v>88.48</v>
      </c>
      <c r="K121" s="52">
        <f t="shared" si="31"/>
        <v>0.0712816724</v>
      </c>
      <c r="L121" s="52">
        <f t="shared" si="2"/>
        <v>0.2138450172</v>
      </c>
      <c r="M121" s="52">
        <v>48.76</v>
      </c>
      <c r="N121" s="52">
        <v>80.73</v>
      </c>
      <c r="O121" s="52">
        <v>15.37</v>
      </c>
      <c r="P121" s="52">
        <v>1.75</v>
      </c>
      <c r="Q121" s="52">
        <v>0.33</v>
      </c>
      <c r="R121" s="52">
        <v>0.57</v>
      </c>
      <c r="S121" s="52">
        <f t="shared" si="3"/>
        <v>0.04876</v>
      </c>
      <c r="T121" s="52">
        <f t="shared" si="4"/>
        <v>0.08073</v>
      </c>
      <c r="U121" s="52">
        <f t="shared" si="5"/>
        <v>0.01537</v>
      </c>
      <c r="V121" s="52">
        <f t="shared" si="6"/>
        <v>0.00175</v>
      </c>
      <c r="W121" s="52">
        <f t="shared" si="7"/>
        <v>0.00033</v>
      </c>
      <c r="X121" s="52">
        <f t="shared" si="8"/>
        <v>0.00057</v>
      </c>
    </row>
    <row r="122" ht="15.0" customHeight="1">
      <c r="A122" s="51">
        <v>29.0</v>
      </c>
      <c r="B122" s="51" t="s">
        <v>266</v>
      </c>
      <c r="C122" s="51">
        <v>226.0</v>
      </c>
      <c r="D122" s="51" t="s">
        <v>22</v>
      </c>
      <c r="E122" s="51" t="s">
        <v>66</v>
      </c>
      <c r="F122" s="51" t="s">
        <v>299</v>
      </c>
      <c r="G122" s="51" t="s">
        <v>300</v>
      </c>
      <c r="H122" s="52">
        <v>7.19841252895895</v>
      </c>
      <c r="I122" s="52">
        <v>5.934519890469068</v>
      </c>
      <c r="J122" s="52">
        <v>86.0</v>
      </c>
      <c r="K122" s="52">
        <f t="shared" si="31"/>
        <v>4.352212911</v>
      </c>
      <c r="L122" s="52">
        <f t="shared" si="2"/>
        <v>13.05663873</v>
      </c>
      <c r="M122" s="52">
        <v>30.0</v>
      </c>
      <c r="N122" s="52">
        <v>90.0</v>
      </c>
      <c r="O122" s="52">
        <v>33.7</v>
      </c>
      <c r="P122" s="52">
        <v>3.0</v>
      </c>
      <c r="Q122" s="52">
        <v>0.06</v>
      </c>
      <c r="R122" s="52">
        <v>0.8</v>
      </c>
      <c r="S122" s="52">
        <f t="shared" si="3"/>
        <v>1.780355967</v>
      </c>
      <c r="T122" s="52">
        <f t="shared" si="4"/>
        <v>5.341067901</v>
      </c>
      <c r="U122" s="52">
        <f t="shared" si="5"/>
        <v>1.999933203</v>
      </c>
      <c r="V122" s="52">
        <f t="shared" si="6"/>
        <v>0.1780355967</v>
      </c>
      <c r="W122" s="52">
        <f t="shared" si="7"/>
        <v>0.003560711934</v>
      </c>
      <c r="X122" s="52">
        <f t="shared" si="8"/>
        <v>0.04747615912</v>
      </c>
    </row>
    <row r="123" ht="15.0" customHeight="1">
      <c r="A123" s="51">
        <v>29.0</v>
      </c>
      <c r="B123" s="51" t="s">
        <v>266</v>
      </c>
      <c r="C123" s="51">
        <v>192.0</v>
      </c>
      <c r="D123" s="51" t="s">
        <v>16</v>
      </c>
      <c r="E123" s="51" t="s">
        <v>17</v>
      </c>
      <c r="F123" s="51" t="s">
        <v>299</v>
      </c>
      <c r="G123" s="51" t="s">
        <v>300</v>
      </c>
      <c r="H123" s="52">
        <v>29.255414910600464</v>
      </c>
      <c r="I123" s="52">
        <v>32.77744338363425</v>
      </c>
      <c r="J123" s="52">
        <v>88.05</v>
      </c>
      <c r="K123" s="52">
        <f t="shared" si="31"/>
        <v>23.4784115</v>
      </c>
      <c r="L123" s="52">
        <f t="shared" si="2"/>
        <v>70.43523449</v>
      </c>
      <c r="M123" s="52">
        <v>17.12</v>
      </c>
      <c r="N123" s="52">
        <v>71.35</v>
      </c>
      <c r="O123" s="52">
        <v>43.96</v>
      </c>
      <c r="P123" s="52">
        <v>3.58</v>
      </c>
      <c r="Q123" s="52">
        <v>0.19</v>
      </c>
      <c r="R123" s="52">
        <v>0.95</v>
      </c>
      <c r="S123" s="52">
        <f t="shared" si="3"/>
        <v>5.611498307</v>
      </c>
      <c r="T123" s="52">
        <f t="shared" si="4"/>
        <v>23.38670585</v>
      </c>
      <c r="U123" s="52">
        <f t="shared" si="5"/>
        <v>14.40896411</v>
      </c>
      <c r="V123" s="52">
        <f t="shared" si="6"/>
        <v>1.173432473</v>
      </c>
      <c r="W123" s="52">
        <f t="shared" si="7"/>
        <v>0.06227714243</v>
      </c>
      <c r="X123" s="52">
        <f t="shared" si="8"/>
        <v>0.3113857121</v>
      </c>
    </row>
    <row r="124" ht="15.0" customHeight="1">
      <c r="A124" s="51">
        <v>29.0</v>
      </c>
      <c r="B124" s="51" t="s">
        <v>266</v>
      </c>
      <c r="C124" s="51">
        <v>213.0</v>
      </c>
      <c r="D124" s="51" t="s">
        <v>24</v>
      </c>
      <c r="E124" s="51" t="s">
        <v>26</v>
      </c>
      <c r="F124" s="51" t="s">
        <v>299</v>
      </c>
      <c r="G124" s="51" t="s">
        <v>300</v>
      </c>
      <c r="H124" s="52">
        <v>1.4539501953246508</v>
      </c>
      <c r="I124" s="52">
        <v>2.892868255080674</v>
      </c>
      <c r="J124" s="52">
        <v>99.89</v>
      </c>
      <c r="K124" s="52">
        <f t="shared" si="31"/>
        <v>1.826541891</v>
      </c>
      <c r="L124" s="52">
        <f t="shared" si="2"/>
        <v>5.479625674</v>
      </c>
      <c r="M124" s="52">
        <v>0.0</v>
      </c>
      <c r="N124" s="52">
        <v>0.0</v>
      </c>
      <c r="O124" s="52">
        <v>0.0</v>
      </c>
      <c r="P124" s="52">
        <v>0.0</v>
      </c>
      <c r="Q124" s="52">
        <v>37.35</v>
      </c>
      <c r="R124" s="52">
        <v>0.01</v>
      </c>
      <c r="S124" s="52">
        <f t="shared" si="3"/>
        <v>0</v>
      </c>
      <c r="T124" s="52">
        <f t="shared" si="4"/>
        <v>0</v>
      </c>
      <c r="U124" s="52">
        <f t="shared" si="5"/>
        <v>0</v>
      </c>
      <c r="V124" s="52">
        <f t="shared" si="6"/>
        <v>0</v>
      </c>
      <c r="W124" s="52">
        <f t="shared" si="7"/>
        <v>1.080486293</v>
      </c>
      <c r="X124" s="52">
        <f t="shared" si="8"/>
        <v>0.0002892868255</v>
      </c>
    </row>
    <row r="125" ht="15.0" customHeight="1">
      <c r="A125" s="51">
        <v>29.0</v>
      </c>
      <c r="B125" s="51" t="s">
        <v>266</v>
      </c>
      <c r="C125" s="51">
        <v>227.0</v>
      </c>
      <c r="D125" s="51" t="s">
        <v>24</v>
      </c>
      <c r="E125" s="51" t="s">
        <v>70</v>
      </c>
      <c r="F125" s="51" t="s">
        <v>299</v>
      </c>
      <c r="G125" s="51" t="s">
        <v>300</v>
      </c>
      <c r="H125" s="52">
        <v>0.6056637340117257</v>
      </c>
      <c r="I125" s="52">
        <v>1.0</v>
      </c>
      <c r="J125" s="52">
        <v>99.0</v>
      </c>
      <c r="K125" s="52">
        <f t="shared" si="31"/>
        <v>0.6370709469</v>
      </c>
      <c r="L125" s="52">
        <f t="shared" si="2"/>
        <v>1.911212841</v>
      </c>
      <c r="M125" s="52">
        <v>0.0</v>
      </c>
      <c r="N125" s="52">
        <v>0.0</v>
      </c>
      <c r="O125" s="52">
        <v>0.0</v>
      </c>
      <c r="P125" s="52">
        <v>0.0</v>
      </c>
      <c r="Q125" s="52">
        <v>0.0</v>
      </c>
      <c r="R125" s="52">
        <v>0.0</v>
      </c>
      <c r="S125" s="52">
        <f t="shared" si="3"/>
        <v>0</v>
      </c>
      <c r="T125" s="52">
        <f t="shared" si="4"/>
        <v>0</v>
      </c>
      <c r="U125" s="52">
        <f t="shared" si="5"/>
        <v>0</v>
      </c>
      <c r="V125" s="52">
        <f t="shared" si="6"/>
        <v>0</v>
      </c>
      <c r="W125" s="52">
        <f t="shared" si="7"/>
        <v>0</v>
      </c>
      <c r="X125" s="52">
        <f t="shared" si="8"/>
        <v>0</v>
      </c>
    </row>
    <row r="126" ht="15.0" customHeight="1">
      <c r="A126" s="51">
        <v>30.0</v>
      </c>
      <c r="B126" s="51" t="s">
        <v>259</v>
      </c>
      <c r="C126" s="51">
        <v>168.0</v>
      </c>
      <c r="D126" s="51" t="s">
        <v>18</v>
      </c>
      <c r="E126" s="51" t="s">
        <v>20</v>
      </c>
      <c r="F126" s="51" t="s">
        <v>314</v>
      </c>
      <c r="G126" s="51" t="s">
        <v>300</v>
      </c>
      <c r="H126" s="52">
        <v>30.0</v>
      </c>
      <c r="I126" s="52">
        <v>50.0</v>
      </c>
      <c r="J126" s="52">
        <v>31.59</v>
      </c>
      <c r="K126" s="52">
        <f t="shared" ref="K126:K132" si="32">IF(J126&gt;0,(I126/J126)/SUMPRODUCT($I$126:$I$132/$J$126:$J$132)*100,"")</f>
        <v>73.67136528</v>
      </c>
      <c r="L126" s="52">
        <f t="shared" si="2"/>
        <v>221.0140958</v>
      </c>
      <c r="M126" s="52">
        <v>7.27</v>
      </c>
      <c r="N126" s="52">
        <v>63.13</v>
      </c>
      <c r="O126" s="52">
        <v>55.27</v>
      </c>
      <c r="P126" s="52">
        <v>3.13</v>
      </c>
      <c r="Q126" s="52">
        <v>0.3</v>
      </c>
      <c r="R126" s="52">
        <v>0.19</v>
      </c>
      <c r="S126" s="52">
        <f t="shared" si="3"/>
        <v>3.635</v>
      </c>
      <c r="T126" s="52">
        <f t="shared" si="4"/>
        <v>31.565</v>
      </c>
      <c r="U126" s="52">
        <f t="shared" si="5"/>
        <v>27.635</v>
      </c>
      <c r="V126" s="52">
        <f t="shared" si="6"/>
        <v>1.565</v>
      </c>
      <c r="W126" s="52">
        <f t="shared" si="7"/>
        <v>0.15</v>
      </c>
      <c r="X126" s="52">
        <f t="shared" si="8"/>
        <v>0.095</v>
      </c>
    </row>
    <row r="127" ht="15.0" customHeight="1">
      <c r="A127" s="51">
        <v>30.0</v>
      </c>
      <c r="B127" s="51" t="s">
        <v>259</v>
      </c>
      <c r="C127" s="51">
        <v>188.0</v>
      </c>
      <c r="D127" s="51" t="s">
        <v>16</v>
      </c>
      <c r="E127" s="51" t="s">
        <v>19</v>
      </c>
      <c r="F127" s="51" t="s">
        <v>299</v>
      </c>
      <c r="G127" s="51" t="s">
        <v>300</v>
      </c>
      <c r="H127" s="52">
        <v>22.85211536428342</v>
      </c>
      <c r="I127" s="52">
        <v>7.98780191428259</v>
      </c>
      <c r="J127" s="52">
        <v>87.78</v>
      </c>
      <c r="K127" s="52">
        <f t="shared" si="32"/>
        <v>4.235552311</v>
      </c>
      <c r="L127" s="52">
        <f t="shared" si="2"/>
        <v>12.70665693</v>
      </c>
      <c r="M127" s="52">
        <v>9.1</v>
      </c>
      <c r="N127" s="52">
        <v>86.03</v>
      </c>
      <c r="O127" s="52">
        <v>14.39</v>
      </c>
      <c r="P127" s="52">
        <v>4.18</v>
      </c>
      <c r="Q127" s="52">
        <v>0.03</v>
      </c>
      <c r="R127" s="52">
        <v>0.25</v>
      </c>
      <c r="S127" s="52">
        <f t="shared" si="3"/>
        <v>0.7268899742</v>
      </c>
      <c r="T127" s="52">
        <f t="shared" si="4"/>
        <v>6.871905987</v>
      </c>
      <c r="U127" s="52">
        <f t="shared" si="5"/>
        <v>1.149444695</v>
      </c>
      <c r="V127" s="52">
        <f t="shared" si="6"/>
        <v>0.33389012</v>
      </c>
      <c r="W127" s="52">
        <f t="shared" si="7"/>
        <v>0.002396340574</v>
      </c>
      <c r="X127" s="52">
        <f t="shared" si="8"/>
        <v>0.01996950479</v>
      </c>
    </row>
    <row r="128" ht="15.0" customHeight="1">
      <c r="A128" s="51">
        <v>30.0</v>
      </c>
      <c r="B128" s="51" t="s">
        <v>259</v>
      </c>
      <c r="C128" s="51">
        <v>208.0</v>
      </c>
      <c r="D128" s="51" t="s">
        <v>22</v>
      </c>
      <c r="E128" s="51" t="s">
        <v>23</v>
      </c>
      <c r="F128" s="51" t="s">
        <v>299</v>
      </c>
      <c r="G128" s="51" t="s">
        <v>300</v>
      </c>
      <c r="H128" s="52">
        <v>13.004728684129486</v>
      </c>
      <c r="I128" s="52">
        <v>19.128982104341507</v>
      </c>
      <c r="J128" s="52">
        <v>88.48</v>
      </c>
      <c r="K128" s="52">
        <f t="shared" si="32"/>
        <v>10.06294472</v>
      </c>
      <c r="L128" s="52">
        <f t="shared" si="2"/>
        <v>30.18883415</v>
      </c>
      <c r="M128" s="52">
        <v>48.76</v>
      </c>
      <c r="N128" s="52">
        <v>80.73</v>
      </c>
      <c r="O128" s="52">
        <v>15.37</v>
      </c>
      <c r="P128" s="52">
        <v>1.75</v>
      </c>
      <c r="Q128" s="52">
        <v>0.33</v>
      </c>
      <c r="R128" s="52">
        <v>0.57</v>
      </c>
      <c r="S128" s="52">
        <f t="shared" si="3"/>
        <v>9.327291674</v>
      </c>
      <c r="T128" s="52">
        <f t="shared" si="4"/>
        <v>15.44282725</v>
      </c>
      <c r="U128" s="52">
        <f t="shared" si="5"/>
        <v>2.940124549</v>
      </c>
      <c r="V128" s="52">
        <f t="shared" si="6"/>
        <v>0.3347571868</v>
      </c>
      <c r="W128" s="52">
        <f t="shared" si="7"/>
        <v>0.06312564094</v>
      </c>
      <c r="X128" s="52">
        <f t="shared" si="8"/>
        <v>0.109035198</v>
      </c>
    </row>
    <row r="129" ht="15.0" customHeight="1">
      <c r="A129" s="51">
        <v>30.0</v>
      </c>
      <c r="B129" s="51" t="s">
        <v>259</v>
      </c>
      <c r="C129" s="51">
        <v>226.0</v>
      </c>
      <c r="D129" s="51" t="s">
        <v>22</v>
      </c>
      <c r="E129" s="51" t="s">
        <v>66</v>
      </c>
      <c r="F129" s="51" t="s">
        <v>299</v>
      </c>
      <c r="G129" s="51" t="s">
        <v>300</v>
      </c>
      <c r="H129" s="52">
        <v>7.780365821444614</v>
      </c>
      <c r="I129" s="52">
        <v>6.936839913003144</v>
      </c>
      <c r="J129" s="52">
        <v>86.0</v>
      </c>
      <c r="K129" s="52">
        <f t="shared" si="32"/>
        <v>3.754408813</v>
      </c>
      <c r="L129" s="52">
        <f t="shared" si="2"/>
        <v>11.26322644</v>
      </c>
      <c r="M129" s="52">
        <v>30.0</v>
      </c>
      <c r="N129" s="52">
        <v>90.0</v>
      </c>
      <c r="O129" s="52">
        <v>33.7</v>
      </c>
      <c r="P129" s="52">
        <v>3.0</v>
      </c>
      <c r="Q129" s="52">
        <v>0.06</v>
      </c>
      <c r="R129" s="52">
        <v>0.8</v>
      </c>
      <c r="S129" s="52">
        <f t="shared" si="3"/>
        <v>2.081051974</v>
      </c>
      <c r="T129" s="52">
        <f t="shared" si="4"/>
        <v>6.243155922</v>
      </c>
      <c r="U129" s="52">
        <f t="shared" si="5"/>
        <v>2.337715051</v>
      </c>
      <c r="V129" s="52">
        <f t="shared" si="6"/>
        <v>0.2081051974</v>
      </c>
      <c r="W129" s="52">
        <f t="shared" si="7"/>
        <v>0.004162103948</v>
      </c>
      <c r="X129" s="52">
        <f t="shared" si="8"/>
        <v>0.0554947193</v>
      </c>
    </row>
    <row r="130" ht="15.0" customHeight="1">
      <c r="A130" s="51">
        <v>30.0</v>
      </c>
      <c r="B130" s="51" t="s">
        <v>259</v>
      </c>
      <c r="C130" s="51">
        <v>192.0</v>
      </c>
      <c r="D130" s="51" t="s">
        <v>16</v>
      </c>
      <c r="E130" s="51" t="s">
        <v>17</v>
      </c>
      <c r="F130" s="51" t="s">
        <v>299</v>
      </c>
      <c r="G130" s="51" t="s">
        <v>300</v>
      </c>
      <c r="H130" s="52">
        <v>24.85017270694245</v>
      </c>
      <c r="I130" s="52">
        <v>13.42256000927515</v>
      </c>
      <c r="J130" s="52">
        <v>88.05</v>
      </c>
      <c r="K130" s="52">
        <f t="shared" si="32"/>
        <v>7.09552172</v>
      </c>
      <c r="L130" s="52">
        <f t="shared" si="2"/>
        <v>21.28656516</v>
      </c>
      <c r="M130" s="52">
        <v>17.12</v>
      </c>
      <c r="N130" s="52">
        <v>71.35</v>
      </c>
      <c r="O130" s="52">
        <v>43.96</v>
      </c>
      <c r="P130" s="52">
        <v>3.58</v>
      </c>
      <c r="Q130" s="52">
        <v>0.19</v>
      </c>
      <c r="R130" s="52">
        <v>0.95</v>
      </c>
      <c r="S130" s="52">
        <f t="shared" si="3"/>
        <v>2.297942274</v>
      </c>
      <c r="T130" s="52">
        <f t="shared" si="4"/>
        <v>9.576996567</v>
      </c>
      <c r="U130" s="52">
        <f t="shared" si="5"/>
        <v>5.90055738</v>
      </c>
      <c r="V130" s="52">
        <f t="shared" si="6"/>
        <v>0.4805276483</v>
      </c>
      <c r="W130" s="52">
        <f t="shared" si="7"/>
        <v>0.02550286402</v>
      </c>
      <c r="X130" s="52">
        <f t="shared" si="8"/>
        <v>0.1275143201</v>
      </c>
    </row>
    <row r="131" ht="15.0" customHeight="1">
      <c r="A131" s="51">
        <v>30.0</v>
      </c>
      <c r="B131" s="51" t="s">
        <v>259</v>
      </c>
      <c r="C131" s="51">
        <v>213.0</v>
      </c>
      <c r="D131" s="51" t="s">
        <v>24</v>
      </c>
      <c r="E131" s="51" t="s">
        <v>26</v>
      </c>
      <c r="F131" s="51" t="s">
        <v>299</v>
      </c>
      <c r="G131" s="51" t="s">
        <v>300</v>
      </c>
      <c r="H131" s="52">
        <v>1.4126174232000208</v>
      </c>
      <c r="I131" s="52">
        <v>1.5238160590976089</v>
      </c>
      <c r="J131" s="52">
        <v>99.89</v>
      </c>
      <c r="K131" s="52">
        <f t="shared" si="32"/>
        <v>0.7100499038</v>
      </c>
      <c r="L131" s="52">
        <f t="shared" si="2"/>
        <v>2.130149711</v>
      </c>
      <c r="M131" s="52">
        <v>0.0</v>
      </c>
      <c r="N131" s="52">
        <v>0.0</v>
      </c>
      <c r="O131" s="52">
        <v>0.0</v>
      </c>
      <c r="P131" s="52">
        <v>0.0</v>
      </c>
      <c r="Q131" s="52">
        <v>37.35</v>
      </c>
      <c r="R131" s="52">
        <v>0.01</v>
      </c>
      <c r="S131" s="52">
        <f t="shared" si="3"/>
        <v>0</v>
      </c>
      <c r="T131" s="52">
        <f t="shared" si="4"/>
        <v>0</v>
      </c>
      <c r="U131" s="52">
        <f t="shared" si="5"/>
        <v>0</v>
      </c>
      <c r="V131" s="52">
        <f t="shared" si="6"/>
        <v>0</v>
      </c>
      <c r="W131" s="52">
        <f t="shared" si="7"/>
        <v>0.5691452981</v>
      </c>
      <c r="X131" s="52">
        <f t="shared" si="8"/>
        <v>0.0001523816059</v>
      </c>
    </row>
    <row r="132" ht="15.0" customHeight="1">
      <c r="A132" s="51">
        <v>30.0</v>
      </c>
      <c r="B132" s="51" t="s">
        <v>259</v>
      </c>
      <c r="C132" s="51">
        <v>227.0</v>
      </c>
      <c r="D132" s="51" t="s">
        <v>24</v>
      </c>
      <c r="E132" s="51" t="s">
        <v>70</v>
      </c>
      <c r="F132" s="51" t="s">
        <v>299</v>
      </c>
      <c r="G132" s="51" t="s">
        <v>300</v>
      </c>
      <c r="H132" s="52">
        <v>0.1</v>
      </c>
      <c r="I132" s="52">
        <v>1.0</v>
      </c>
      <c r="J132" s="52">
        <v>99.0</v>
      </c>
      <c r="K132" s="52">
        <f t="shared" si="32"/>
        <v>0.4701572584</v>
      </c>
      <c r="L132" s="52">
        <f t="shared" si="2"/>
        <v>1.410471775</v>
      </c>
      <c r="M132" s="52">
        <v>0.0</v>
      </c>
      <c r="N132" s="52">
        <v>0.0</v>
      </c>
      <c r="O132" s="52">
        <v>0.0</v>
      </c>
      <c r="P132" s="52">
        <v>0.0</v>
      </c>
      <c r="Q132" s="52">
        <v>0.0</v>
      </c>
      <c r="R132" s="52">
        <v>0.0</v>
      </c>
      <c r="S132" s="52">
        <f t="shared" si="3"/>
        <v>0</v>
      </c>
      <c r="T132" s="52">
        <f t="shared" si="4"/>
        <v>0</v>
      </c>
      <c r="U132" s="52">
        <f t="shared" si="5"/>
        <v>0</v>
      </c>
      <c r="V132" s="52">
        <f t="shared" si="6"/>
        <v>0</v>
      </c>
      <c r="W132" s="52">
        <f t="shared" si="7"/>
        <v>0</v>
      </c>
      <c r="X132" s="52">
        <f t="shared" si="8"/>
        <v>0</v>
      </c>
    </row>
    <row r="133" ht="15.0" customHeight="1">
      <c r="A133" s="51">
        <v>30.0</v>
      </c>
      <c r="B133" s="51" t="s">
        <v>266</v>
      </c>
      <c r="C133" s="51">
        <v>168.0</v>
      </c>
      <c r="D133" s="51" t="s">
        <v>18</v>
      </c>
      <c r="E133" s="51" t="s">
        <v>20</v>
      </c>
      <c r="F133" s="51" t="s">
        <v>314</v>
      </c>
      <c r="G133" s="51" t="s">
        <v>300</v>
      </c>
      <c r="H133" s="52">
        <v>30.0</v>
      </c>
      <c r="I133" s="52">
        <v>24.750000000000004</v>
      </c>
      <c r="J133" s="52">
        <v>31.59</v>
      </c>
      <c r="K133" s="52">
        <f t="shared" ref="K133:K139" si="33">IF(J133&gt;0,(I133/J133)/SUMPRODUCT($I$133:$I$139/$J$133:$J$139)*100,"")</f>
        <v>47.88680172</v>
      </c>
      <c r="L133" s="52">
        <f t="shared" si="2"/>
        <v>143.6604052</v>
      </c>
      <c r="M133" s="52">
        <v>7.27</v>
      </c>
      <c r="N133" s="52">
        <v>63.13</v>
      </c>
      <c r="O133" s="52">
        <v>55.27</v>
      </c>
      <c r="P133" s="52">
        <v>3.13</v>
      </c>
      <c r="Q133" s="52">
        <v>0.3</v>
      </c>
      <c r="R133" s="52">
        <v>0.19</v>
      </c>
      <c r="S133" s="52">
        <f t="shared" si="3"/>
        <v>1.799325</v>
      </c>
      <c r="T133" s="52">
        <f t="shared" si="4"/>
        <v>15.624675</v>
      </c>
      <c r="U133" s="52">
        <f t="shared" si="5"/>
        <v>13.679325</v>
      </c>
      <c r="V133" s="52">
        <f t="shared" si="6"/>
        <v>0.774675</v>
      </c>
      <c r="W133" s="52">
        <f t="shared" si="7"/>
        <v>0.07425</v>
      </c>
      <c r="X133" s="52">
        <f t="shared" si="8"/>
        <v>0.047025</v>
      </c>
    </row>
    <row r="134" ht="15.0" customHeight="1">
      <c r="A134" s="51">
        <v>30.0</v>
      </c>
      <c r="B134" s="51" t="s">
        <v>266</v>
      </c>
      <c r="C134" s="51">
        <v>188.0</v>
      </c>
      <c r="D134" s="51" t="s">
        <v>16</v>
      </c>
      <c r="E134" s="51" t="s">
        <v>19</v>
      </c>
      <c r="F134" s="51" t="s">
        <v>299</v>
      </c>
      <c r="G134" s="51" t="s">
        <v>300</v>
      </c>
      <c r="H134" s="52">
        <v>22.85211536428342</v>
      </c>
      <c r="I134" s="52">
        <v>23.223058855728308</v>
      </c>
      <c r="J134" s="52">
        <v>87.78</v>
      </c>
      <c r="K134" s="52">
        <f t="shared" si="33"/>
        <v>16.17015196</v>
      </c>
      <c r="L134" s="52">
        <f t="shared" si="2"/>
        <v>48.51045588</v>
      </c>
      <c r="M134" s="52">
        <v>9.1</v>
      </c>
      <c r="N134" s="52">
        <v>86.03</v>
      </c>
      <c r="O134" s="52">
        <v>14.39</v>
      </c>
      <c r="P134" s="52">
        <v>4.18</v>
      </c>
      <c r="Q134" s="52">
        <v>0.03</v>
      </c>
      <c r="R134" s="52">
        <v>0.25</v>
      </c>
      <c r="S134" s="52">
        <f t="shared" si="3"/>
        <v>2.113298356</v>
      </c>
      <c r="T134" s="52">
        <f t="shared" si="4"/>
        <v>19.97879753</v>
      </c>
      <c r="U134" s="52">
        <f t="shared" si="5"/>
        <v>3.341798169</v>
      </c>
      <c r="V134" s="52">
        <f t="shared" si="6"/>
        <v>0.9707238602</v>
      </c>
      <c r="W134" s="52">
        <f t="shared" si="7"/>
        <v>0.006966917657</v>
      </c>
      <c r="X134" s="52">
        <f t="shared" si="8"/>
        <v>0.05805764714</v>
      </c>
    </row>
    <row r="135" ht="15.0" customHeight="1">
      <c r="A135" s="51">
        <v>30.0</v>
      </c>
      <c r="B135" s="51" t="s">
        <v>266</v>
      </c>
      <c r="C135" s="51">
        <v>208.0</v>
      </c>
      <c r="D135" s="51" t="s">
        <v>22</v>
      </c>
      <c r="E135" s="51" t="s">
        <v>23</v>
      </c>
      <c r="F135" s="51" t="s">
        <v>299</v>
      </c>
      <c r="G135" s="51" t="s">
        <v>300</v>
      </c>
      <c r="H135" s="52">
        <v>13.004728684129486</v>
      </c>
      <c r="I135" s="52">
        <v>14.990465680349125</v>
      </c>
      <c r="J135" s="52">
        <v>88.48</v>
      </c>
      <c r="K135" s="52">
        <f t="shared" si="33"/>
        <v>10.3552423</v>
      </c>
      <c r="L135" s="52">
        <f t="shared" si="2"/>
        <v>31.0657269</v>
      </c>
      <c r="M135" s="52">
        <v>48.76</v>
      </c>
      <c r="N135" s="52">
        <v>80.73</v>
      </c>
      <c r="O135" s="52">
        <v>15.37</v>
      </c>
      <c r="P135" s="52">
        <v>1.75</v>
      </c>
      <c r="Q135" s="52">
        <v>0.33</v>
      </c>
      <c r="R135" s="52">
        <v>0.57</v>
      </c>
      <c r="S135" s="52">
        <f t="shared" si="3"/>
        <v>7.309351066</v>
      </c>
      <c r="T135" s="52">
        <f t="shared" si="4"/>
        <v>12.10180294</v>
      </c>
      <c r="U135" s="52">
        <f t="shared" si="5"/>
        <v>2.304034575</v>
      </c>
      <c r="V135" s="52">
        <f t="shared" si="6"/>
        <v>0.2623331494</v>
      </c>
      <c r="W135" s="52">
        <f t="shared" si="7"/>
        <v>0.04946853675</v>
      </c>
      <c r="X135" s="52">
        <f t="shared" si="8"/>
        <v>0.08544565438</v>
      </c>
    </row>
    <row r="136" ht="15.0" customHeight="1">
      <c r="A136" s="51">
        <v>30.0</v>
      </c>
      <c r="B136" s="51" t="s">
        <v>266</v>
      </c>
      <c r="C136" s="51">
        <v>226.0</v>
      </c>
      <c r="D136" s="51" t="s">
        <v>22</v>
      </c>
      <c r="E136" s="51" t="s">
        <v>66</v>
      </c>
      <c r="F136" s="51" t="s">
        <v>299</v>
      </c>
      <c r="G136" s="51" t="s">
        <v>300</v>
      </c>
      <c r="H136" s="52">
        <v>7.780365821444614</v>
      </c>
      <c r="I136" s="52">
        <v>8.157597954220549</v>
      </c>
      <c r="J136" s="52">
        <v>86.0</v>
      </c>
      <c r="K136" s="52">
        <f t="shared" si="33"/>
        <v>5.797678131</v>
      </c>
      <c r="L136" s="52">
        <f t="shared" si="2"/>
        <v>17.39303439</v>
      </c>
      <c r="M136" s="52">
        <v>30.0</v>
      </c>
      <c r="N136" s="52">
        <v>90.0</v>
      </c>
      <c r="O136" s="52">
        <v>33.7</v>
      </c>
      <c r="P136" s="52">
        <v>3.0</v>
      </c>
      <c r="Q136" s="52">
        <v>0.06</v>
      </c>
      <c r="R136" s="52">
        <v>0.8</v>
      </c>
      <c r="S136" s="52">
        <f t="shared" si="3"/>
        <v>2.447279386</v>
      </c>
      <c r="T136" s="52">
        <f t="shared" si="4"/>
        <v>7.341838159</v>
      </c>
      <c r="U136" s="52">
        <f t="shared" si="5"/>
        <v>2.749110511</v>
      </c>
      <c r="V136" s="52">
        <f t="shared" si="6"/>
        <v>0.2447279386</v>
      </c>
      <c r="W136" s="52">
        <f t="shared" si="7"/>
        <v>0.004894558773</v>
      </c>
      <c r="X136" s="52">
        <f t="shared" si="8"/>
        <v>0.06526078363</v>
      </c>
    </row>
    <row r="137" ht="15.0" customHeight="1">
      <c r="A137" s="51">
        <v>30.0</v>
      </c>
      <c r="B137" s="51" t="s">
        <v>266</v>
      </c>
      <c r="C137" s="51">
        <v>192.0</v>
      </c>
      <c r="D137" s="51" t="s">
        <v>16</v>
      </c>
      <c r="E137" s="51" t="s">
        <v>17</v>
      </c>
      <c r="F137" s="51" t="s">
        <v>299</v>
      </c>
      <c r="G137" s="51" t="s">
        <v>300</v>
      </c>
      <c r="H137" s="52">
        <v>24.85017270694245</v>
      </c>
      <c r="I137" s="52">
        <v>25.694638363842255</v>
      </c>
      <c r="J137" s="52">
        <v>88.05</v>
      </c>
      <c r="K137" s="52">
        <f t="shared" si="33"/>
        <v>17.83624397</v>
      </c>
      <c r="L137" s="52">
        <f t="shared" si="2"/>
        <v>53.50873192</v>
      </c>
      <c r="M137" s="52">
        <v>17.12</v>
      </c>
      <c r="N137" s="52">
        <v>71.35</v>
      </c>
      <c r="O137" s="52">
        <v>43.96</v>
      </c>
      <c r="P137" s="52">
        <v>3.58</v>
      </c>
      <c r="Q137" s="52">
        <v>0.19</v>
      </c>
      <c r="R137" s="52">
        <v>0.95</v>
      </c>
      <c r="S137" s="52">
        <f t="shared" si="3"/>
        <v>4.398922088</v>
      </c>
      <c r="T137" s="52">
        <f t="shared" si="4"/>
        <v>18.33312447</v>
      </c>
      <c r="U137" s="52">
        <f t="shared" si="5"/>
        <v>11.29536302</v>
      </c>
      <c r="V137" s="52">
        <f t="shared" si="6"/>
        <v>0.9198680534</v>
      </c>
      <c r="W137" s="52">
        <f t="shared" si="7"/>
        <v>0.04881981289</v>
      </c>
      <c r="X137" s="52">
        <f t="shared" si="8"/>
        <v>0.2440990645</v>
      </c>
    </row>
    <row r="138" ht="15.0" customHeight="1">
      <c r="A138" s="51">
        <v>30.0</v>
      </c>
      <c r="B138" s="51" t="s">
        <v>266</v>
      </c>
      <c r="C138" s="51">
        <v>213.0</v>
      </c>
      <c r="D138" s="51" t="s">
        <v>24</v>
      </c>
      <c r="E138" s="51" t="s">
        <v>26</v>
      </c>
      <c r="F138" s="51" t="s">
        <v>299</v>
      </c>
      <c r="G138" s="51" t="s">
        <v>300</v>
      </c>
      <c r="H138" s="52">
        <v>1.4126174232000208</v>
      </c>
      <c r="I138" s="52">
        <v>2.18423914585977</v>
      </c>
      <c r="J138" s="52">
        <v>99.89</v>
      </c>
      <c r="K138" s="52">
        <f t="shared" si="33"/>
        <v>1.336498353</v>
      </c>
      <c r="L138" s="52">
        <f t="shared" si="2"/>
        <v>4.00949506</v>
      </c>
      <c r="M138" s="52">
        <v>0.0</v>
      </c>
      <c r="N138" s="52">
        <v>0.0</v>
      </c>
      <c r="O138" s="52">
        <v>0.0</v>
      </c>
      <c r="P138" s="52">
        <v>0.0</v>
      </c>
      <c r="Q138" s="52">
        <v>37.35</v>
      </c>
      <c r="R138" s="52">
        <v>0.01</v>
      </c>
      <c r="S138" s="52">
        <f t="shared" si="3"/>
        <v>0</v>
      </c>
      <c r="T138" s="52">
        <f t="shared" si="4"/>
        <v>0</v>
      </c>
      <c r="U138" s="52">
        <f t="shared" si="5"/>
        <v>0</v>
      </c>
      <c r="V138" s="52">
        <f t="shared" si="6"/>
        <v>0</v>
      </c>
      <c r="W138" s="52">
        <f t="shared" si="7"/>
        <v>0.815813321</v>
      </c>
      <c r="X138" s="52">
        <f t="shared" si="8"/>
        <v>0.0002184239146</v>
      </c>
    </row>
    <row r="139" ht="15.0" customHeight="1">
      <c r="A139" s="51">
        <v>30.0</v>
      </c>
      <c r="B139" s="51" t="s">
        <v>266</v>
      </c>
      <c r="C139" s="51">
        <v>227.0</v>
      </c>
      <c r="D139" s="51" t="s">
        <v>24</v>
      </c>
      <c r="E139" s="51" t="s">
        <v>70</v>
      </c>
      <c r="F139" s="51" t="s">
        <v>299</v>
      </c>
      <c r="G139" s="51" t="s">
        <v>300</v>
      </c>
      <c r="H139" s="52">
        <v>0.1</v>
      </c>
      <c r="I139" s="52">
        <v>1.0</v>
      </c>
      <c r="J139" s="52">
        <v>99.0</v>
      </c>
      <c r="K139" s="52">
        <f t="shared" si="33"/>
        <v>0.6173835594</v>
      </c>
      <c r="L139" s="52">
        <f t="shared" si="2"/>
        <v>1.852150678</v>
      </c>
      <c r="M139" s="52">
        <v>0.0</v>
      </c>
      <c r="N139" s="52">
        <v>0.0</v>
      </c>
      <c r="O139" s="52">
        <v>0.0</v>
      </c>
      <c r="P139" s="52">
        <v>0.0</v>
      </c>
      <c r="Q139" s="52">
        <v>0.0</v>
      </c>
      <c r="R139" s="52">
        <v>0.0</v>
      </c>
      <c r="S139" s="52">
        <f t="shared" si="3"/>
        <v>0</v>
      </c>
      <c r="T139" s="52">
        <f t="shared" si="4"/>
        <v>0</v>
      </c>
      <c r="U139" s="52">
        <f t="shared" si="5"/>
        <v>0</v>
      </c>
      <c r="V139" s="52">
        <f t="shared" si="6"/>
        <v>0</v>
      </c>
      <c r="W139" s="52">
        <f t="shared" si="7"/>
        <v>0</v>
      </c>
      <c r="X139" s="52">
        <f t="shared" si="8"/>
        <v>0</v>
      </c>
    </row>
    <row r="140" ht="15.0" customHeight="1">
      <c r="A140" s="51">
        <v>31.0</v>
      </c>
      <c r="B140" s="51" t="s">
        <v>259</v>
      </c>
      <c r="C140" s="51">
        <v>168.0</v>
      </c>
      <c r="D140" s="51" t="s">
        <v>18</v>
      </c>
      <c r="E140" s="51" t="s">
        <v>20</v>
      </c>
      <c r="F140" s="51" t="s">
        <v>314</v>
      </c>
      <c r="G140" s="51" t="s">
        <v>300</v>
      </c>
      <c r="H140" s="52">
        <v>75.0</v>
      </c>
      <c r="I140" s="52">
        <v>50.0</v>
      </c>
      <c r="J140" s="52">
        <v>31.59</v>
      </c>
      <c r="K140" s="52">
        <f t="shared" ref="K140:K143" si="34">IF(J140&gt;0,(I140/J140)/SUMPRODUCT($I$140:$I$143/$J$140:$J$143)*100,"")</f>
        <v>73.73179219</v>
      </c>
      <c r="L140" s="52">
        <f t="shared" si="2"/>
        <v>221.1953766</v>
      </c>
      <c r="M140" s="52">
        <v>7.27</v>
      </c>
      <c r="N140" s="52">
        <v>63.13</v>
      </c>
      <c r="O140" s="52">
        <v>55.27</v>
      </c>
      <c r="P140" s="52">
        <v>3.13</v>
      </c>
      <c r="Q140" s="52">
        <v>0.3</v>
      </c>
      <c r="R140" s="52">
        <v>0.19</v>
      </c>
      <c r="S140" s="52">
        <f t="shared" si="3"/>
        <v>3.635</v>
      </c>
      <c r="T140" s="52">
        <f t="shared" si="4"/>
        <v>31.565</v>
      </c>
      <c r="U140" s="52">
        <f t="shared" si="5"/>
        <v>27.635</v>
      </c>
      <c r="V140" s="52">
        <f t="shared" si="6"/>
        <v>1.565</v>
      </c>
      <c r="W140" s="52">
        <f t="shared" si="7"/>
        <v>0.15</v>
      </c>
      <c r="X140" s="52">
        <f t="shared" si="8"/>
        <v>0.095</v>
      </c>
    </row>
    <row r="141" ht="15.0" customHeight="1">
      <c r="A141" s="51">
        <v>31.0</v>
      </c>
      <c r="B141" s="51" t="s">
        <v>259</v>
      </c>
      <c r="C141" s="51">
        <v>208.0</v>
      </c>
      <c r="D141" s="51" t="s">
        <v>22</v>
      </c>
      <c r="E141" s="51" t="s">
        <v>23</v>
      </c>
      <c r="F141" s="51" t="s">
        <v>299</v>
      </c>
      <c r="G141" s="51" t="s">
        <v>300</v>
      </c>
      <c r="H141" s="52">
        <v>22.98667951008181</v>
      </c>
      <c r="I141" s="52">
        <v>48.9</v>
      </c>
      <c r="J141" s="52">
        <v>88.48</v>
      </c>
      <c r="K141" s="52">
        <f t="shared" si="34"/>
        <v>25.74531187</v>
      </c>
      <c r="L141" s="52">
        <f t="shared" si="2"/>
        <v>77.23593561</v>
      </c>
      <c r="M141" s="52">
        <v>48.76</v>
      </c>
      <c r="N141" s="52">
        <v>80.73</v>
      </c>
      <c r="O141" s="52">
        <v>15.37</v>
      </c>
      <c r="P141" s="52">
        <v>1.75</v>
      </c>
      <c r="Q141" s="52">
        <v>0.33</v>
      </c>
      <c r="R141" s="52">
        <v>0.57</v>
      </c>
      <c r="S141" s="52">
        <f t="shared" si="3"/>
        <v>23.84364</v>
      </c>
      <c r="T141" s="52">
        <f t="shared" si="4"/>
        <v>39.47697</v>
      </c>
      <c r="U141" s="52">
        <f t="shared" si="5"/>
        <v>7.51593</v>
      </c>
      <c r="V141" s="52">
        <f t="shared" si="6"/>
        <v>0.85575</v>
      </c>
      <c r="W141" s="52">
        <f t="shared" si="7"/>
        <v>0.16137</v>
      </c>
      <c r="X141" s="52">
        <f t="shared" si="8"/>
        <v>0.27873</v>
      </c>
    </row>
    <row r="142" ht="15.0" customHeight="1">
      <c r="A142" s="51">
        <v>31.0</v>
      </c>
      <c r="B142" s="51" t="s">
        <v>259</v>
      </c>
      <c r="C142" s="51">
        <v>227.0</v>
      </c>
      <c r="D142" s="51" t="s">
        <v>24</v>
      </c>
      <c r="E142" s="51" t="s">
        <v>70</v>
      </c>
      <c r="F142" s="51" t="s">
        <v>299</v>
      </c>
      <c r="G142" s="51" t="s">
        <v>300</v>
      </c>
      <c r="H142" s="52">
        <v>1.0</v>
      </c>
      <c r="I142" s="52">
        <v>1.0</v>
      </c>
      <c r="J142" s="52">
        <v>99.0</v>
      </c>
      <c r="K142" s="52">
        <f t="shared" si="34"/>
        <v>0.4705428919</v>
      </c>
      <c r="L142" s="52">
        <f t="shared" si="2"/>
        <v>1.411628676</v>
      </c>
      <c r="M142" s="52">
        <v>0.0</v>
      </c>
      <c r="N142" s="52">
        <v>0.0</v>
      </c>
      <c r="O142" s="52">
        <v>0.0</v>
      </c>
      <c r="P142" s="52">
        <v>0.0</v>
      </c>
      <c r="Q142" s="52">
        <v>0.0</v>
      </c>
      <c r="R142" s="52">
        <v>0.0</v>
      </c>
      <c r="S142" s="52">
        <f t="shared" si="3"/>
        <v>0</v>
      </c>
      <c r="T142" s="52">
        <f t="shared" si="4"/>
        <v>0</v>
      </c>
      <c r="U142" s="52">
        <f t="shared" si="5"/>
        <v>0</v>
      </c>
      <c r="V142" s="52">
        <f t="shared" si="6"/>
        <v>0</v>
      </c>
      <c r="W142" s="52">
        <f t="shared" si="7"/>
        <v>0</v>
      </c>
      <c r="X142" s="52">
        <f t="shared" si="8"/>
        <v>0</v>
      </c>
    </row>
    <row r="143" ht="15.0" customHeight="1">
      <c r="A143" s="51">
        <v>31.0</v>
      </c>
      <c r="B143" s="51" t="s">
        <v>259</v>
      </c>
      <c r="C143" s="51">
        <v>172.0</v>
      </c>
      <c r="D143" s="51" t="s">
        <v>16</v>
      </c>
      <c r="E143" s="51" t="s">
        <v>34</v>
      </c>
      <c r="F143" s="51" t="s">
        <v>299</v>
      </c>
      <c r="G143" s="51" t="s">
        <v>300</v>
      </c>
      <c r="H143" s="52">
        <v>1.0133204899181907</v>
      </c>
      <c r="I143" s="52">
        <v>0.1</v>
      </c>
      <c r="J143" s="52">
        <v>88.98</v>
      </c>
      <c r="K143" s="52">
        <f t="shared" si="34"/>
        <v>0.05235305271</v>
      </c>
      <c r="L143" s="52">
        <f t="shared" si="2"/>
        <v>0.1570591581</v>
      </c>
      <c r="M143" s="52">
        <v>13.73</v>
      </c>
      <c r="N143" s="52">
        <v>83.51</v>
      </c>
      <c r="O143" s="52">
        <v>24.43</v>
      </c>
      <c r="P143" s="52">
        <v>15.84</v>
      </c>
      <c r="Q143" s="52">
        <v>0.11</v>
      </c>
      <c r="R143" s="52">
        <v>1.72</v>
      </c>
      <c r="S143" s="52">
        <f t="shared" si="3"/>
        <v>0.01373</v>
      </c>
      <c r="T143" s="52">
        <f t="shared" si="4"/>
        <v>0.08351</v>
      </c>
      <c r="U143" s="52">
        <f t="shared" si="5"/>
        <v>0.02443</v>
      </c>
      <c r="V143" s="52">
        <f t="shared" si="6"/>
        <v>0.01584</v>
      </c>
      <c r="W143" s="52">
        <f t="shared" si="7"/>
        <v>0.00011</v>
      </c>
      <c r="X143" s="52">
        <f t="shared" si="8"/>
        <v>0.00172</v>
      </c>
    </row>
    <row r="144" ht="15.0" customHeight="1">
      <c r="A144" s="51">
        <v>31.0</v>
      </c>
      <c r="B144" s="51" t="s">
        <v>266</v>
      </c>
      <c r="C144" s="51">
        <v>168.0</v>
      </c>
      <c r="D144" s="51" t="s">
        <v>18</v>
      </c>
      <c r="E144" s="51" t="s">
        <v>20</v>
      </c>
      <c r="F144" s="51" t="s">
        <v>314</v>
      </c>
      <c r="G144" s="51" t="s">
        <v>300</v>
      </c>
      <c r="H144" s="52">
        <v>75.0</v>
      </c>
      <c r="I144" s="52">
        <v>91.69372092375409</v>
      </c>
      <c r="J144" s="52">
        <v>31.59</v>
      </c>
      <c r="K144" s="52">
        <f t="shared" ref="K144:K147" si="35">IF(J144&gt;0,(I144/J144)/SUMPRODUCT($I$144:$I$147/$J$144:$J$147)*100,"")</f>
        <v>96.90868006</v>
      </c>
      <c r="L144" s="52">
        <f t="shared" si="2"/>
        <v>290.7260402</v>
      </c>
      <c r="M144" s="52">
        <v>7.27</v>
      </c>
      <c r="N144" s="52">
        <v>63.13</v>
      </c>
      <c r="O144" s="52">
        <v>55.27</v>
      </c>
      <c r="P144" s="52">
        <v>3.13</v>
      </c>
      <c r="Q144" s="52">
        <v>0.3</v>
      </c>
      <c r="R144" s="52">
        <v>0.19</v>
      </c>
      <c r="S144" s="52">
        <f t="shared" si="3"/>
        <v>6.666133511</v>
      </c>
      <c r="T144" s="52">
        <f t="shared" si="4"/>
        <v>57.88624602</v>
      </c>
      <c r="U144" s="52">
        <f t="shared" si="5"/>
        <v>50.67911955</v>
      </c>
      <c r="V144" s="52">
        <f t="shared" si="6"/>
        <v>2.870013465</v>
      </c>
      <c r="W144" s="52">
        <f t="shared" si="7"/>
        <v>0.2750811628</v>
      </c>
      <c r="X144" s="52">
        <f t="shared" si="8"/>
        <v>0.1742180698</v>
      </c>
    </row>
    <row r="145" ht="15.0" customHeight="1">
      <c r="A145" s="51">
        <v>31.0</v>
      </c>
      <c r="B145" s="51" t="s">
        <v>266</v>
      </c>
      <c r="C145" s="51">
        <v>208.0</v>
      </c>
      <c r="D145" s="51" t="s">
        <v>22</v>
      </c>
      <c r="E145" s="51" t="s">
        <v>23</v>
      </c>
      <c r="F145" s="51" t="s">
        <v>299</v>
      </c>
      <c r="G145" s="51" t="s">
        <v>300</v>
      </c>
      <c r="H145" s="52">
        <v>22.98667951008181</v>
      </c>
      <c r="I145" s="52">
        <v>5.968353901440211</v>
      </c>
      <c r="J145" s="52">
        <v>88.48</v>
      </c>
      <c r="K145" s="52">
        <f t="shared" si="35"/>
        <v>2.252071429</v>
      </c>
      <c r="L145" s="52">
        <f t="shared" si="2"/>
        <v>6.756214286</v>
      </c>
      <c r="M145" s="52">
        <v>48.76</v>
      </c>
      <c r="N145" s="52">
        <v>80.73</v>
      </c>
      <c r="O145" s="52">
        <v>15.37</v>
      </c>
      <c r="P145" s="52">
        <v>1.75</v>
      </c>
      <c r="Q145" s="52">
        <v>0.33</v>
      </c>
      <c r="R145" s="52">
        <v>0.57</v>
      </c>
      <c r="S145" s="52">
        <f t="shared" si="3"/>
        <v>2.910169362</v>
      </c>
      <c r="T145" s="52">
        <f t="shared" si="4"/>
        <v>4.818252105</v>
      </c>
      <c r="U145" s="52">
        <f t="shared" si="5"/>
        <v>0.9173359947</v>
      </c>
      <c r="V145" s="52">
        <f t="shared" si="6"/>
        <v>0.1044461933</v>
      </c>
      <c r="W145" s="52">
        <f t="shared" si="7"/>
        <v>0.01969556787</v>
      </c>
      <c r="X145" s="52">
        <f t="shared" si="8"/>
        <v>0.03401961724</v>
      </c>
    </row>
    <row r="146" ht="15.0" customHeight="1">
      <c r="A146" s="51">
        <v>31.0</v>
      </c>
      <c r="B146" s="51" t="s">
        <v>266</v>
      </c>
      <c r="C146" s="51">
        <v>227.0</v>
      </c>
      <c r="D146" s="51" t="s">
        <v>24</v>
      </c>
      <c r="E146" s="51" t="s">
        <v>70</v>
      </c>
      <c r="F146" s="51" t="s">
        <v>299</v>
      </c>
      <c r="G146" s="51" t="s">
        <v>300</v>
      </c>
      <c r="H146" s="52">
        <v>1.0</v>
      </c>
      <c r="I146" s="52">
        <v>1.0</v>
      </c>
      <c r="J146" s="52">
        <v>99.0</v>
      </c>
      <c r="K146" s="52">
        <f t="shared" si="35"/>
        <v>0.3372387826</v>
      </c>
      <c r="L146" s="52">
        <f t="shared" si="2"/>
        <v>1.011716348</v>
      </c>
      <c r="M146" s="52">
        <v>0.0</v>
      </c>
      <c r="N146" s="52">
        <v>0.0</v>
      </c>
      <c r="O146" s="52">
        <v>0.0</v>
      </c>
      <c r="P146" s="52">
        <v>0.0</v>
      </c>
      <c r="Q146" s="52">
        <v>0.0</v>
      </c>
      <c r="R146" s="52">
        <v>0.0</v>
      </c>
      <c r="S146" s="52">
        <f t="shared" si="3"/>
        <v>0</v>
      </c>
      <c r="T146" s="52">
        <f t="shared" si="4"/>
        <v>0</v>
      </c>
      <c r="U146" s="52">
        <f t="shared" si="5"/>
        <v>0</v>
      </c>
      <c r="V146" s="52">
        <f t="shared" si="6"/>
        <v>0</v>
      </c>
      <c r="W146" s="52">
        <f t="shared" si="7"/>
        <v>0</v>
      </c>
      <c r="X146" s="52">
        <f t="shared" si="8"/>
        <v>0</v>
      </c>
    </row>
    <row r="147" ht="15.0" customHeight="1">
      <c r="A147" s="51">
        <v>31.0</v>
      </c>
      <c r="B147" s="51" t="s">
        <v>266</v>
      </c>
      <c r="C147" s="51">
        <v>172.0</v>
      </c>
      <c r="D147" s="51" t="s">
        <v>16</v>
      </c>
      <c r="E147" s="51" t="s">
        <v>34</v>
      </c>
      <c r="F147" s="51" t="s">
        <v>299</v>
      </c>
      <c r="G147" s="51" t="s">
        <v>300</v>
      </c>
      <c r="H147" s="52">
        <v>1.0133204899181907</v>
      </c>
      <c r="I147" s="52">
        <v>1.3379251748057028</v>
      </c>
      <c r="J147" s="52">
        <v>88.98</v>
      </c>
      <c r="K147" s="52">
        <f t="shared" si="35"/>
        <v>0.5020097265</v>
      </c>
      <c r="L147" s="52">
        <f t="shared" si="2"/>
        <v>1.50602918</v>
      </c>
      <c r="M147" s="52">
        <v>13.73</v>
      </c>
      <c r="N147" s="52">
        <v>83.51</v>
      </c>
      <c r="O147" s="52">
        <v>24.43</v>
      </c>
      <c r="P147" s="52">
        <v>15.84</v>
      </c>
      <c r="Q147" s="52">
        <v>0.11</v>
      </c>
      <c r="R147" s="52">
        <v>1.72</v>
      </c>
      <c r="S147" s="52">
        <f t="shared" si="3"/>
        <v>0.1836971265</v>
      </c>
      <c r="T147" s="52">
        <f t="shared" si="4"/>
        <v>1.117301313</v>
      </c>
      <c r="U147" s="52">
        <f t="shared" si="5"/>
        <v>0.3268551202</v>
      </c>
      <c r="V147" s="52">
        <f t="shared" si="6"/>
        <v>0.2119273477</v>
      </c>
      <c r="W147" s="52">
        <f t="shared" si="7"/>
        <v>0.001471717692</v>
      </c>
      <c r="X147" s="52">
        <f t="shared" si="8"/>
        <v>0.02301231301</v>
      </c>
    </row>
    <row r="148" ht="15.0" customHeight="1">
      <c r="A148" s="51">
        <v>32.0</v>
      </c>
      <c r="B148" s="51" t="s">
        <v>259</v>
      </c>
      <c r="C148" s="51">
        <v>168.0</v>
      </c>
      <c r="D148" s="51" t="s">
        <v>18</v>
      </c>
      <c r="E148" s="51" t="s">
        <v>20</v>
      </c>
      <c r="F148" s="51" t="s">
        <v>314</v>
      </c>
      <c r="G148" s="51" t="s">
        <v>300</v>
      </c>
      <c r="H148" s="52">
        <v>59.91189071469534</v>
      </c>
      <c r="I148" s="52">
        <v>50.0</v>
      </c>
      <c r="J148" s="52">
        <v>31.59</v>
      </c>
      <c r="K148" s="52">
        <f t="shared" ref="K148:K153" si="36">IF(J148&gt;0,(I148/J148)/SUMPRODUCT($I$148:$I$153/$J$148:$J$153)*100,"")</f>
        <v>73.76224716</v>
      </c>
      <c r="L148" s="52">
        <f t="shared" si="2"/>
        <v>221.2867415</v>
      </c>
      <c r="M148" s="52">
        <v>7.27</v>
      </c>
      <c r="N148" s="52">
        <v>63.13</v>
      </c>
      <c r="O148" s="52">
        <v>55.27</v>
      </c>
      <c r="P148" s="52">
        <v>3.13</v>
      </c>
      <c r="Q148" s="52">
        <v>0.3</v>
      </c>
      <c r="R148" s="52">
        <v>0.19</v>
      </c>
      <c r="S148" s="52">
        <f t="shared" si="3"/>
        <v>3.635</v>
      </c>
      <c r="T148" s="52">
        <f t="shared" si="4"/>
        <v>31.565</v>
      </c>
      <c r="U148" s="52">
        <f t="shared" si="5"/>
        <v>27.635</v>
      </c>
      <c r="V148" s="52">
        <f t="shared" si="6"/>
        <v>1.565</v>
      </c>
      <c r="W148" s="52">
        <f t="shared" si="7"/>
        <v>0.15</v>
      </c>
      <c r="X148" s="52">
        <f t="shared" si="8"/>
        <v>0.095</v>
      </c>
    </row>
    <row r="149" ht="15.0" customHeight="1">
      <c r="A149" s="51">
        <v>32.0</v>
      </c>
      <c r="B149" s="51" t="s">
        <v>259</v>
      </c>
      <c r="C149" s="51">
        <v>208.0</v>
      </c>
      <c r="D149" s="51" t="s">
        <v>22</v>
      </c>
      <c r="E149" s="51" t="s">
        <v>23</v>
      </c>
      <c r="F149" s="51" t="s">
        <v>299</v>
      </c>
      <c r="G149" s="51" t="s">
        <v>300</v>
      </c>
      <c r="H149" s="52">
        <v>12.629229145715403</v>
      </c>
      <c r="I149" s="52">
        <v>10.966078473286032</v>
      </c>
      <c r="J149" s="52">
        <v>88.48</v>
      </c>
      <c r="K149" s="52">
        <f t="shared" si="36"/>
        <v>5.775904394</v>
      </c>
      <c r="L149" s="52">
        <f t="shared" si="2"/>
        <v>17.32771318</v>
      </c>
      <c r="M149" s="52">
        <v>48.76</v>
      </c>
      <c r="N149" s="52">
        <v>80.73</v>
      </c>
      <c r="O149" s="52">
        <v>15.37</v>
      </c>
      <c r="P149" s="52">
        <v>1.75</v>
      </c>
      <c r="Q149" s="52">
        <v>0.33</v>
      </c>
      <c r="R149" s="52">
        <v>0.57</v>
      </c>
      <c r="S149" s="52">
        <f t="shared" si="3"/>
        <v>5.347059864</v>
      </c>
      <c r="T149" s="52">
        <f t="shared" si="4"/>
        <v>8.852915151</v>
      </c>
      <c r="U149" s="52">
        <f t="shared" si="5"/>
        <v>1.685486261</v>
      </c>
      <c r="V149" s="52">
        <f t="shared" si="6"/>
        <v>0.1919063733</v>
      </c>
      <c r="W149" s="52">
        <f t="shared" si="7"/>
        <v>0.03618805896</v>
      </c>
      <c r="X149" s="52">
        <f t="shared" si="8"/>
        <v>0.0625066473</v>
      </c>
    </row>
    <row r="150" ht="15.0" customHeight="1">
      <c r="A150" s="51">
        <v>32.0</v>
      </c>
      <c r="B150" s="51" t="s">
        <v>259</v>
      </c>
      <c r="C150" s="51">
        <v>192.0</v>
      </c>
      <c r="D150" s="51" t="s">
        <v>16</v>
      </c>
      <c r="E150" s="51" t="s">
        <v>17</v>
      </c>
      <c r="F150" s="51" t="s">
        <v>299</v>
      </c>
      <c r="G150" s="51" t="s">
        <v>300</v>
      </c>
      <c r="H150" s="52">
        <v>26.520685574160414</v>
      </c>
      <c r="I150" s="52">
        <v>35.794718510198756</v>
      </c>
      <c r="J150" s="52">
        <v>88.05</v>
      </c>
      <c r="K150" s="52">
        <f t="shared" si="36"/>
        <v>18.94538136</v>
      </c>
      <c r="L150" s="52">
        <f t="shared" si="2"/>
        <v>56.83614407</v>
      </c>
      <c r="M150" s="52">
        <v>17.12</v>
      </c>
      <c r="N150" s="52">
        <v>71.35</v>
      </c>
      <c r="O150" s="52">
        <v>43.96</v>
      </c>
      <c r="P150" s="52">
        <v>3.58</v>
      </c>
      <c r="Q150" s="52">
        <v>0.19</v>
      </c>
      <c r="R150" s="52">
        <v>0.95</v>
      </c>
      <c r="S150" s="52">
        <f t="shared" si="3"/>
        <v>6.128055809</v>
      </c>
      <c r="T150" s="52">
        <f t="shared" si="4"/>
        <v>25.53953166</v>
      </c>
      <c r="U150" s="52">
        <f t="shared" si="5"/>
        <v>15.73535826</v>
      </c>
      <c r="V150" s="52">
        <f t="shared" si="6"/>
        <v>1.281450923</v>
      </c>
      <c r="W150" s="52">
        <f t="shared" si="7"/>
        <v>0.06800996517</v>
      </c>
      <c r="X150" s="52">
        <f t="shared" si="8"/>
        <v>0.3400498258</v>
      </c>
    </row>
    <row r="151" ht="15.0" customHeight="1">
      <c r="A151" s="51">
        <v>32.0</v>
      </c>
      <c r="B151" s="51" t="s">
        <v>259</v>
      </c>
      <c r="C151" s="51">
        <v>227.0</v>
      </c>
      <c r="D151" s="51" t="s">
        <v>24</v>
      </c>
      <c r="E151" s="51" t="s">
        <v>70</v>
      </c>
      <c r="F151" s="51" t="s">
        <v>299</v>
      </c>
      <c r="G151" s="51" t="s">
        <v>300</v>
      </c>
      <c r="H151" s="52">
        <v>0.011327041727113027</v>
      </c>
      <c r="I151" s="52">
        <v>1.0</v>
      </c>
      <c r="J151" s="52">
        <v>99.0</v>
      </c>
      <c r="K151" s="52">
        <f t="shared" si="36"/>
        <v>0.47073725</v>
      </c>
      <c r="L151" s="52">
        <f t="shared" si="2"/>
        <v>1.41221175</v>
      </c>
      <c r="M151" s="52">
        <v>0.0</v>
      </c>
      <c r="N151" s="52">
        <v>0.0</v>
      </c>
      <c r="O151" s="52">
        <v>0.0</v>
      </c>
      <c r="P151" s="52">
        <v>0.0</v>
      </c>
      <c r="Q151" s="52">
        <v>0.0</v>
      </c>
      <c r="R151" s="52">
        <v>0.0</v>
      </c>
      <c r="S151" s="52">
        <f t="shared" si="3"/>
        <v>0</v>
      </c>
      <c r="T151" s="52">
        <f t="shared" si="4"/>
        <v>0</v>
      </c>
      <c r="U151" s="52">
        <f t="shared" si="5"/>
        <v>0</v>
      </c>
      <c r="V151" s="52">
        <f t="shared" si="6"/>
        <v>0</v>
      </c>
      <c r="W151" s="52">
        <f t="shared" si="7"/>
        <v>0</v>
      </c>
      <c r="X151" s="52">
        <f t="shared" si="8"/>
        <v>0</v>
      </c>
    </row>
    <row r="152" ht="15.0" customHeight="1">
      <c r="A152" s="51">
        <v>32.0</v>
      </c>
      <c r="B152" s="51" t="s">
        <v>259</v>
      </c>
      <c r="C152" s="51">
        <v>213.0</v>
      </c>
      <c r="D152" s="51" t="s">
        <v>24</v>
      </c>
      <c r="E152" s="51" t="s">
        <v>26</v>
      </c>
      <c r="F152" s="51" t="s">
        <v>299</v>
      </c>
      <c r="G152" s="51" t="s">
        <v>300</v>
      </c>
      <c r="H152" s="52">
        <v>0.6621822960826269</v>
      </c>
      <c r="I152" s="52">
        <v>1.9900042065490546</v>
      </c>
      <c r="J152" s="52">
        <v>99.89</v>
      </c>
      <c r="K152" s="52">
        <f t="shared" si="36"/>
        <v>0.9284226816</v>
      </c>
      <c r="L152" s="52">
        <f t="shared" si="2"/>
        <v>2.785268045</v>
      </c>
      <c r="M152" s="52">
        <v>0.0</v>
      </c>
      <c r="N152" s="52">
        <v>0.0</v>
      </c>
      <c r="O152" s="52">
        <v>0.0</v>
      </c>
      <c r="P152" s="52">
        <v>0.0</v>
      </c>
      <c r="Q152" s="52">
        <v>37.35</v>
      </c>
      <c r="R152" s="52">
        <v>0.01</v>
      </c>
      <c r="S152" s="52">
        <f t="shared" si="3"/>
        <v>0</v>
      </c>
      <c r="T152" s="52">
        <f t="shared" si="4"/>
        <v>0</v>
      </c>
      <c r="U152" s="52">
        <f t="shared" si="5"/>
        <v>0</v>
      </c>
      <c r="V152" s="52">
        <f t="shared" si="6"/>
        <v>0</v>
      </c>
      <c r="W152" s="52">
        <f t="shared" si="7"/>
        <v>0.7432665711</v>
      </c>
      <c r="X152" s="52">
        <f t="shared" si="8"/>
        <v>0.0001990004207</v>
      </c>
    </row>
    <row r="153" ht="15.0" customHeight="1">
      <c r="A153" s="51">
        <v>32.0</v>
      </c>
      <c r="B153" s="51" t="s">
        <v>259</v>
      </c>
      <c r="C153" s="51">
        <v>211.0</v>
      </c>
      <c r="D153" s="51" t="s">
        <v>22</v>
      </c>
      <c r="E153" s="51" t="s">
        <v>25</v>
      </c>
      <c r="F153" s="51" t="s">
        <v>299</v>
      </c>
      <c r="G153" s="51" t="s">
        <v>300</v>
      </c>
      <c r="H153" s="52">
        <v>0.2646852276191065</v>
      </c>
      <c r="I153" s="52">
        <v>0.24919880996615426</v>
      </c>
      <c r="J153" s="52">
        <v>99.0</v>
      </c>
      <c r="K153" s="52">
        <f t="shared" si="36"/>
        <v>0.1173071625</v>
      </c>
      <c r="L153" s="52">
        <f t="shared" si="2"/>
        <v>0.3519214875</v>
      </c>
      <c r="M153" s="52">
        <v>280.0</v>
      </c>
      <c r="N153" s="52">
        <v>0.0</v>
      </c>
      <c r="O153" s="52">
        <v>0.0</v>
      </c>
      <c r="P153" s="52">
        <v>0.0</v>
      </c>
      <c r="Q153" s="52">
        <v>0.0</v>
      </c>
      <c r="R153" s="52">
        <v>0.0</v>
      </c>
      <c r="S153" s="52">
        <f t="shared" si="3"/>
        <v>0.6977566679</v>
      </c>
      <c r="T153" s="52">
        <f t="shared" si="4"/>
        <v>0</v>
      </c>
      <c r="U153" s="52">
        <f t="shared" si="5"/>
        <v>0</v>
      </c>
      <c r="V153" s="52">
        <f t="shared" si="6"/>
        <v>0</v>
      </c>
      <c r="W153" s="52">
        <f t="shared" si="7"/>
        <v>0</v>
      </c>
      <c r="X153" s="52">
        <f t="shared" si="8"/>
        <v>0</v>
      </c>
    </row>
    <row r="154" ht="15.0" customHeight="1">
      <c r="A154" s="51">
        <v>32.0</v>
      </c>
      <c r="B154" s="51" t="s">
        <v>266</v>
      </c>
      <c r="C154" s="51">
        <v>168.0</v>
      </c>
      <c r="D154" s="51" t="s">
        <v>18</v>
      </c>
      <c r="E154" s="51" t="s">
        <v>20</v>
      </c>
      <c r="F154" s="51" t="s">
        <v>314</v>
      </c>
      <c r="G154" s="51" t="s">
        <v>300</v>
      </c>
      <c r="H154" s="52">
        <v>59.91189071469534</v>
      </c>
      <c r="I154" s="52">
        <v>7.425000000000001</v>
      </c>
      <c r="J154" s="52">
        <v>31.59</v>
      </c>
      <c r="K154" s="52">
        <f t="shared" ref="K154:K159" si="37">IF(J154&gt;0,(I154/J154)/SUMPRODUCT($I$154:$I$159/$J$154:$J$159)*100,"")</f>
        <v>18.38876361</v>
      </c>
      <c r="L154" s="52">
        <f t="shared" si="2"/>
        <v>55.16629083</v>
      </c>
      <c r="M154" s="52">
        <v>7.27</v>
      </c>
      <c r="N154" s="52">
        <v>63.13</v>
      </c>
      <c r="O154" s="52">
        <v>55.27</v>
      </c>
      <c r="P154" s="52">
        <v>3.13</v>
      </c>
      <c r="Q154" s="52">
        <v>0.3</v>
      </c>
      <c r="R154" s="52">
        <v>0.19</v>
      </c>
      <c r="S154" s="52">
        <f t="shared" si="3"/>
        <v>0.5397975</v>
      </c>
      <c r="T154" s="52">
        <f t="shared" si="4"/>
        <v>4.6874025</v>
      </c>
      <c r="U154" s="52">
        <f t="shared" si="5"/>
        <v>4.1037975</v>
      </c>
      <c r="V154" s="52">
        <f t="shared" si="6"/>
        <v>0.2324025</v>
      </c>
      <c r="W154" s="52">
        <f t="shared" si="7"/>
        <v>0.022275</v>
      </c>
      <c r="X154" s="52">
        <f t="shared" si="8"/>
        <v>0.0141075</v>
      </c>
    </row>
    <row r="155" ht="15.0" customHeight="1">
      <c r="A155" s="51">
        <v>32.0</v>
      </c>
      <c r="B155" s="51" t="s">
        <v>266</v>
      </c>
      <c r="C155" s="51">
        <v>208.0</v>
      </c>
      <c r="D155" s="51" t="s">
        <v>22</v>
      </c>
      <c r="E155" s="51" t="s">
        <v>23</v>
      </c>
      <c r="F155" s="51" t="s">
        <v>299</v>
      </c>
      <c r="G155" s="51" t="s">
        <v>300</v>
      </c>
      <c r="H155" s="52">
        <v>12.629229145715403</v>
      </c>
      <c r="I155" s="52">
        <v>0.6204797060628697</v>
      </c>
      <c r="J155" s="52">
        <v>88.48</v>
      </c>
      <c r="K155" s="52">
        <f t="shared" si="37"/>
        <v>0.5486408815</v>
      </c>
      <c r="L155" s="52">
        <f t="shared" si="2"/>
        <v>1.645922644</v>
      </c>
      <c r="M155" s="52">
        <v>48.76</v>
      </c>
      <c r="N155" s="52">
        <v>80.73</v>
      </c>
      <c r="O155" s="52">
        <v>15.37</v>
      </c>
      <c r="P155" s="52">
        <v>1.75</v>
      </c>
      <c r="Q155" s="52">
        <v>0.33</v>
      </c>
      <c r="R155" s="52">
        <v>0.57</v>
      </c>
      <c r="S155" s="52">
        <f t="shared" si="3"/>
        <v>0.3025459047</v>
      </c>
      <c r="T155" s="52">
        <f t="shared" si="4"/>
        <v>0.5009132667</v>
      </c>
      <c r="U155" s="52">
        <f t="shared" si="5"/>
        <v>0.09536773082</v>
      </c>
      <c r="V155" s="52">
        <f t="shared" si="6"/>
        <v>0.01085839486</v>
      </c>
      <c r="W155" s="52">
        <f t="shared" si="7"/>
        <v>0.00204758303</v>
      </c>
      <c r="X155" s="52">
        <f t="shared" si="8"/>
        <v>0.003536734325</v>
      </c>
    </row>
    <row r="156" ht="15.0" customHeight="1">
      <c r="A156" s="51">
        <v>32.0</v>
      </c>
      <c r="B156" s="51" t="s">
        <v>266</v>
      </c>
      <c r="C156" s="51">
        <v>192.0</v>
      </c>
      <c r="D156" s="51" t="s">
        <v>16</v>
      </c>
      <c r="E156" s="51" t="s">
        <v>17</v>
      </c>
      <c r="F156" s="51" t="s">
        <v>299</v>
      </c>
      <c r="G156" s="51" t="s">
        <v>300</v>
      </c>
      <c r="H156" s="52">
        <v>26.520685574160414</v>
      </c>
      <c r="I156" s="52">
        <v>85.77995873685306</v>
      </c>
      <c r="J156" s="52">
        <v>88.05</v>
      </c>
      <c r="K156" s="52">
        <f t="shared" si="37"/>
        <v>76.21881117</v>
      </c>
      <c r="L156" s="52">
        <f t="shared" si="2"/>
        <v>228.6564335</v>
      </c>
      <c r="M156" s="52">
        <v>17.12</v>
      </c>
      <c r="N156" s="52">
        <v>71.35</v>
      </c>
      <c r="O156" s="52">
        <v>43.96</v>
      </c>
      <c r="P156" s="52">
        <v>3.58</v>
      </c>
      <c r="Q156" s="52">
        <v>0.19</v>
      </c>
      <c r="R156" s="52">
        <v>0.95</v>
      </c>
      <c r="S156" s="52">
        <f t="shared" si="3"/>
        <v>14.68552894</v>
      </c>
      <c r="T156" s="52">
        <f t="shared" si="4"/>
        <v>61.20400056</v>
      </c>
      <c r="U156" s="52">
        <f t="shared" si="5"/>
        <v>37.70886986</v>
      </c>
      <c r="V156" s="52">
        <f t="shared" si="6"/>
        <v>3.070922523</v>
      </c>
      <c r="W156" s="52">
        <f t="shared" si="7"/>
        <v>0.1629819216</v>
      </c>
      <c r="X156" s="52">
        <f t="shared" si="8"/>
        <v>0.814909608</v>
      </c>
    </row>
    <row r="157" ht="15.0" customHeight="1">
      <c r="A157" s="51">
        <v>32.0</v>
      </c>
      <c r="B157" s="51" t="s">
        <v>266</v>
      </c>
      <c r="C157" s="51">
        <v>227.0</v>
      </c>
      <c r="D157" s="51" t="s">
        <v>24</v>
      </c>
      <c r="E157" s="51" t="s">
        <v>70</v>
      </c>
      <c r="F157" s="51" t="s">
        <v>299</v>
      </c>
      <c r="G157" s="51" t="s">
        <v>300</v>
      </c>
      <c r="H157" s="52">
        <v>0.011327041727113027</v>
      </c>
      <c r="I157" s="52">
        <v>1.0</v>
      </c>
      <c r="J157" s="52">
        <v>99.0</v>
      </c>
      <c r="K157" s="52">
        <f t="shared" si="37"/>
        <v>0.7902609155</v>
      </c>
      <c r="L157" s="52">
        <f t="shared" si="2"/>
        <v>2.370782746</v>
      </c>
      <c r="M157" s="52">
        <v>0.0</v>
      </c>
      <c r="N157" s="52">
        <v>0.0</v>
      </c>
      <c r="O157" s="52">
        <v>0.0</v>
      </c>
      <c r="P157" s="52">
        <v>0.0</v>
      </c>
      <c r="Q157" s="52">
        <v>0.0</v>
      </c>
      <c r="R157" s="52">
        <v>0.0</v>
      </c>
      <c r="S157" s="52">
        <f t="shared" si="3"/>
        <v>0</v>
      </c>
      <c r="T157" s="52">
        <f t="shared" si="4"/>
        <v>0</v>
      </c>
      <c r="U157" s="52">
        <f t="shared" si="5"/>
        <v>0</v>
      </c>
      <c r="V157" s="52">
        <f t="shared" si="6"/>
        <v>0</v>
      </c>
      <c r="W157" s="52">
        <f t="shared" si="7"/>
        <v>0</v>
      </c>
      <c r="X157" s="52">
        <f t="shared" si="8"/>
        <v>0</v>
      </c>
    </row>
    <row r="158" ht="15.0" customHeight="1">
      <c r="A158" s="51">
        <v>32.0</v>
      </c>
      <c r="B158" s="51" t="s">
        <v>266</v>
      </c>
      <c r="C158" s="51">
        <v>213.0</v>
      </c>
      <c r="D158" s="51" t="s">
        <v>24</v>
      </c>
      <c r="E158" s="51" t="s">
        <v>26</v>
      </c>
      <c r="F158" s="51" t="s">
        <v>299</v>
      </c>
      <c r="G158" s="51" t="s">
        <v>300</v>
      </c>
      <c r="H158" s="52">
        <v>0.6621822960826269</v>
      </c>
      <c r="I158" s="52">
        <v>5.074561557084064</v>
      </c>
      <c r="J158" s="52">
        <v>99.89</v>
      </c>
      <c r="K158" s="52">
        <f t="shared" si="37"/>
        <v>3.974497332</v>
      </c>
      <c r="L158" s="52">
        <f t="shared" si="2"/>
        <v>11.923492</v>
      </c>
      <c r="M158" s="52">
        <v>0.0</v>
      </c>
      <c r="N158" s="52">
        <v>0.0</v>
      </c>
      <c r="O158" s="52">
        <v>0.0</v>
      </c>
      <c r="P158" s="52">
        <v>0.0</v>
      </c>
      <c r="Q158" s="52">
        <v>37.35</v>
      </c>
      <c r="R158" s="52">
        <v>0.01</v>
      </c>
      <c r="S158" s="52">
        <f t="shared" si="3"/>
        <v>0</v>
      </c>
      <c r="T158" s="52">
        <f t="shared" si="4"/>
        <v>0</v>
      </c>
      <c r="U158" s="52">
        <f t="shared" si="5"/>
        <v>0</v>
      </c>
      <c r="V158" s="52">
        <f t="shared" si="6"/>
        <v>0</v>
      </c>
      <c r="W158" s="52">
        <f t="shared" si="7"/>
        <v>1.895348742</v>
      </c>
      <c r="X158" s="52">
        <f t="shared" si="8"/>
        <v>0.0005074561557</v>
      </c>
    </row>
    <row r="159" ht="15.0" customHeight="1">
      <c r="A159" s="51">
        <v>32.0</v>
      </c>
      <c r="B159" s="51" t="s">
        <v>266</v>
      </c>
      <c r="C159" s="51">
        <v>211.0</v>
      </c>
      <c r="D159" s="51" t="s">
        <v>22</v>
      </c>
      <c r="E159" s="51" t="s">
        <v>25</v>
      </c>
      <c r="F159" s="51" t="s">
        <v>299</v>
      </c>
      <c r="G159" s="51" t="s">
        <v>300</v>
      </c>
      <c r="H159" s="52">
        <v>0.2646852276191065</v>
      </c>
      <c r="I159" s="52">
        <v>0.1</v>
      </c>
      <c r="J159" s="52">
        <v>99.0</v>
      </c>
      <c r="K159" s="52">
        <f t="shared" si="37"/>
        <v>0.07902609155</v>
      </c>
      <c r="L159" s="52">
        <f t="shared" si="2"/>
        <v>0.2370782746</v>
      </c>
      <c r="M159" s="52">
        <v>280.0</v>
      </c>
      <c r="N159" s="52">
        <v>0.0</v>
      </c>
      <c r="O159" s="52">
        <v>0.0</v>
      </c>
      <c r="P159" s="52">
        <v>0.0</v>
      </c>
      <c r="Q159" s="52">
        <v>0.0</v>
      </c>
      <c r="R159" s="52">
        <v>0.0</v>
      </c>
      <c r="S159" s="52">
        <f t="shared" si="3"/>
        <v>0.28</v>
      </c>
      <c r="T159" s="52">
        <f t="shared" si="4"/>
        <v>0</v>
      </c>
      <c r="U159" s="52">
        <f t="shared" si="5"/>
        <v>0</v>
      </c>
      <c r="V159" s="52">
        <f t="shared" si="6"/>
        <v>0</v>
      </c>
      <c r="W159" s="52">
        <f t="shared" si="7"/>
        <v>0</v>
      </c>
      <c r="X159" s="52">
        <f t="shared" si="8"/>
        <v>0</v>
      </c>
    </row>
    <row r="160" ht="15.0" customHeight="1">
      <c r="A160" s="51">
        <v>33.0</v>
      </c>
      <c r="B160" s="51" t="s">
        <v>61</v>
      </c>
      <c r="C160" s="51">
        <v>192.0</v>
      </c>
      <c r="D160" s="51" t="s">
        <v>16</v>
      </c>
      <c r="E160" s="51" t="s">
        <v>17</v>
      </c>
      <c r="F160" s="51" t="s">
        <v>299</v>
      </c>
      <c r="G160" s="51" t="s">
        <v>300</v>
      </c>
      <c r="H160" s="52">
        <v>46.3306844316967</v>
      </c>
      <c r="I160" s="52">
        <v>9.12</v>
      </c>
      <c r="J160" s="52">
        <v>88.05</v>
      </c>
      <c r="K160" s="52">
        <f t="shared" ref="K160:K163" si="38">IF(J160&gt;0,(I160/J160)/SUMPRODUCT($I$160:$I$163/$J$160:$J$163)*100,"")</f>
        <v>9.131621776</v>
      </c>
      <c r="L160" s="52">
        <f t="shared" si="2"/>
        <v>27.39486533</v>
      </c>
      <c r="M160" s="52">
        <v>17.12</v>
      </c>
      <c r="N160" s="52">
        <v>71.35</v>
      </c>
      <c r="O160" s="52">
        <v>43.96</v>
      </c>
      <c r="P160" s="52">
        <v>3.58</v>
      </c>
      <c r="Q160" s="52">
        <v>0.19</v>
      </c>
      <c r="R160" s="52">
        <v>0.95</v>
      </c>
      <c r="S160" s="52">
        <f t="shared" si="3"/>
        <v>1.561344</v>
      </c>
      <c r="T160" s="52">
        <f t="shared" si="4"/>
        <v>6.50712</v>
      </c>
      <c r="U160" s="52">
        <f t="shared" si="5"/>
        <v>4.009152</v>
      </c>
      <c r="V160" s="52">
        <f t="shared" si="6"/>
        <v>0.326496</v>
      </c>
      <c r="W160" s="52">
        <f t="shared" si="7"/>
        <v>0.017328</v>
      </c>
      <c r="X160" s="52">
        <f t="shared" si="8"/>
        <v>0.08664</v>
      </c>
    </row>
    <row r="161" ht="15.0" customHeight="1">
      <c r="A161" s="51">
        <v>33.0</v>
      </c>
      <c r="B161" s="51" t="s">
        <v>61</v>
      </c>
      <c r="C161" s="51">
        <v>188.0</v>
      </c>
      <c r="D161" s="51" t="s">
        <v>16</v>
      </c>
      <c r="E161" s="51" t="s">
        <v>19</v>
      </c>
      <c r="F161" s="51" t="s">
        <v>299</v>
      </c>
      <c r="G161" s="51" t="s">
        <v>300</v>
      </c>
      <c r="H161" s="52">
        <v>38.163126252588896</v>
      </c>
      <c r="I161" s="52">
        <v>66.26</v>
      </c>
      <c r="J161" s="52">
        <v>87.78</v>
      </c>
      <c r="K161" s="52">
        <f t="shared" si="38"/>
        <v>66.54850324</v>
      </c>
      <c r="L161" s="52">
        <f t="shared" si="2"/>
        <v>199.6455097</v>
      </c>
      <c r="M161" s="52">
        <v>9.1</v>
      </c>
      <c r="N161" s="52">
        <v>86.03</v>
      </c>
      <c r="O161" s="52">
        <v>14.39</v>
      </c>
      <c r="P161" s="52">
        <v>4.18</v>
      </c>
      <c r="Q161" s="52">
        <v>0.03</v>
      </c>
      <c r="R161" s="52">
        <v>0.25</v>
      </c>
      <c r="S161" s="52">
        <f t="shared" si="3"/>
        <v>6.02966</v>
      </c>
      <c r="T161" s="52">
        <f t="shared" si="4"/>
        <v>57.003478</v>
      </c>
      <c r="U161" s="52">
        <f t="shared" si="5"/>
        <v>9.534814</v>
      </c>
      <c r="V161" s="52">
        <f t="shared" si="6"/>
        <v>2.769668</v>
      </c>
      <c r="W161" s="52">
        <f t="shared" si="7"/>
        <v>0.019878</v>
      </c>
      <c r="X161" s="52">
        <f t="shared" si="8"/>
        <v>0.16565</v>
      </c>
    </row>
    <row r="162" ht="15.0" customHeight="1">
      <c r="A162" s="51">
        <v>33.0</v>
      </c>
      <c r="B162" s="51" t="s">
        <v>61</v>
      </c>
      <c r="C162" s="51">
        <v>208.0</v>
      </c>
      <c r="D162" s="51" t="s">
        <v>22</v>
      </c>
      <c r="E162" s="51" t="s">
        <v>23</v>
      </c>
      <c r="F162" s="51" t="s">
        <v>299</v>
      </c>
      <c r="G162" s="51" t="s">
        <v>300</v>
      </c>
      <c r="H162" s="52">
        <v>13.471303979475072</v>
      </c>
      <c r="I162" s="52">
        <v>22.76</v>
      </c>
      <c r="J162" s="52">
        <v>88.48</v>
      </c>
      <c r="K162" s="52">
        <f t="shared" si="38"/>
        <v>22.67825221</v>
      </c>
      <c r="L162" s="52">
        <f t="shared" si="2"/>
        <v>68.03475662</v>
      </c>
      <c r="M162" s="52">
        <v>48.76</v>
      </c>
      <c r="N162" s="52">
        <v>80.73</v>
      </c>
      <c r="O162" s="52">
        <v>15.37</v>
      </c>
      <c r="P162" s="52">
        <v>1.75</v>
      </c>
      <c r="Q162" s="52">
        <v>0.33</v>
      </c>
      <c r="R162" s="52">
        <v>0.57</v>
      </c>
      <c r="S162" s="52">
        <f t="shared" si="3"/>
        <v>11.097776</v>
      </c>
      <c r="T162" s="52">
        <f t="shared" si="4"/>
        <v>18.374148</v>
      </c>
      <c r="U162" s="52">
        <f t="shared" si="5"/>
        <v>3.498212</v>
      </c>
      <c r="V162" s="52">
        <f t="shared" si="6"/>
        <v>0.3983</v>
      </c>
      <c r="W162" s="52">
        <f t="shared" si="7"/>
        <v>0.075108</v>
      </c>
      <c r="X162" s="52">
        <f t="shared" si="8"/>
        <v>0.129732</v>
      </c>
    </row>
    <row r="163" ht="15.0" customHeight="1">
      <c r="A163" s="51">
        <v>33.0</v>
      </c>
      <c r="B163" s="51" t="s">
        <v>61</v>
      </c>
      <c r="C163" s="51">
        <v>213.0</v>
      </c>
      <c r="D163" s="51" t="s">
        <v>24</v>
      </c>
      <c r="E163" s="51" t="s">
        <v>26</v>
      </c>
      <c r="F163" s="51" t="s">
        <v>299</v>
      </c>
      <c r="G163" s="51" t="s">
        <v>300</v>
      </c>
      <c r="H163" s="52">
        <v>2.034885336239317</v>
      </c>
      <c r="I163" s="52">
        <v>1.86</v>
      </c>
      <c r="J163" s="52">
        <v>99.89</v>
      </c>
      <c r="K163" s="52">
        <f t="shared" si="38"/>
        <v>1.641622773</v>
      </c>
      <c r="L163" s="52">
        <f t="shared" si="2"/>
        <v>4.924868319</v>
      </c>
      <c r="M163" s="52">
        <v>0.0</v>
      </c>
      <c r="N163" s="52">
        <v>0.0</v>
      </c>
      <c r="O163" s="52">
        <v>0.0</v>
      </c>
      <c r="P163" s="52">
        <v>0.0</v>
      </c>
      <c r="Q163" s="52">
        <v>37.35</v>
      </c>
      <c r="R163" s="52">
        <v>0.01</v>
      </c>
      <c r="S163" s="52">
        <f t="shared" si="3"/>
        <v>0</v>
      </c>
      <c r="T163" s="52">
        <f t="shared" si="4"/>
        <v>0</v>
      </c>
      <c r="U163" s="52">
        <f t="shared" si="5"/>
        <v>0</v>
      </c>
      <c r="V163" s="52">
        <f t="shared" si="6"/>
        <v>0</v>
      </c>
      <c r="W163" s="52">
        <f t="shared" si="7"/>
        <v>0.69471</v>
      </c>
      <c r="X163" s="52">
        <f t="shared" si="8"/>
        <v>0.000186</v>
      </c>
    </row>
    <row r="164" ht="15.0" customHeight="1">
      <c r="A164" s="51">
        <v>34.0</v>
      </c>
      <c r="B164" s="51" t="s">
        <v>61</v>
      </c>
      <c r="C164" s="51">
        <v>188.0</v>
      </c>
      <c r="D164" s="51" t="s">
        <v>16</v>
      </c>
      <c r="E164" s="51" t="s">
        <v>19</v>
      </c>
      <c r="F164" s="51" t="s">
        <v>299</v>
      </c>
      <c r="G164" s="51" t="s">
        <v>300</v>
      </c>
      <c r="H164" s="52">
        <v>40.27</v>
      </c>
      <c r="I164" s="52">
        <v>40.27</v>
      </c>
      <c r="J164" s="52">
        <v>87.78</v>
      </c>
      <c r="K164" s="52">
        <f t="shared" ref="K164:K167" si="39">IF(J164&gt;0,(I164/J164)/SUMPRODUCT($I$164:$I$167/$J$164:$J$167)*100,"")</f>
        <v>40.90042909</v>
      </c>
      <c r="L164" s="52">
        <f t="shared" si="2"/>
        <v>122.7012873</v>
      </c>
      <c r="M164" s="52">
        <v>9.1</v>
      </c>
      <c r="N164" s="52">
        <v>86.03</v>
      </c>
      <c r="O164" s="52">
        <v>14.39</v>
      </c>
      <c r="P164" s="52">
        <v>4.18</v>
      </c>
      <c r="Q164" s="52">
        <v>0.03</v>
      </c>
      <c r="R164" s="52">
        <v>0.25</v>
      </c>
      <c r="S164" s="52">
        <f t="shared" si="3"/>
        <v>3.66457</v>
      </c>
      <c r="T164" s="52">
        <f t="shared" si="4"/>
        <v>34.644281</v>
      </c>
      <c r="U164" s="52">
        <f t="shared" si="5"/>
        <v>5.794853</v>
      </c>
      <c r="V164" s="52">
        <f t="shared" si="6"/>
        <v>1.683286</v>
      </c>
      <c r="W164" s="52">
        <f t="shared" si="7"/>
        <v>0.012081</v>
      </c>
      <c r="X164" s="52">
        <f t="shared" si="8"/>
        <v>0.100675</v>
      </c>
    </row>
    <row r="165" ht="15.0" customHeight="1">
      <c r="A165" s="51">
        <v>34.0</v>
      </c>
      <c r="B165" s="51" t="s">
        <v>61</v>
      </c>
      <c r="C165" s="51">
        <v>173.0</v>
      </c>
      <c r="D165" s="51" t="s">
        <v>16</v>
      </c>
      <c r="E165" s="51" t="s">
        <v>52</v>
      </c>
      <c r="F165" s="51" t="s">
        <v>299</v>
      </c>
      <c r="G165" s="51" t="s">
        <v>300</v>
      </c>
      <c r="H165" s="52">
        <v>38.47</v>
      </c>
      <c r="I165" s="52">
        <v>38.47</v>
      </c>
      <c r="J165" s="52">
        <v>90.57</v>
      </c>
      <c r="K165" s="52">
        <f t="shared" si="39"/>
        <v>37.86863315</v>
      </c>
      <c r="L165" s="52">
        <f t="shared" si="2"/>
        <v>113.6058994</v>
      </c>
      <c r="M165" s="52">
        <v>14.21</v>
      </c>
      <c r="N165" s="52">
        <v>75.24</v>
      </c>
      <c r="O165" s="52">
        <v>27.69</v>
      </c>
      <c r="P165" s="52">
        <v>5.13</v>
      </c>
      <c r="Q165" s="52">
        <v>0.13</v>
      </c>
      <c r="R165" s="52">
        <v>0.35</v>
      </c>
      <c r="S165" s="52">
        <f t="shared" si="3"/>
        <v>5.466587</v>
      </c>
      <c r="T165" s="52">
        <f t="shared" si="4"/>
        <v>28.944828</v>
      </c>
      <c r="U165" s="52">
        <f t="shared" si="5"/>
        <v>10.652343</v>
      </c>
      <c r="V165" s="52">
        <f t="shared" si="6"/>
        <v>1.973511</v>
      </c>
      <c r="W165" s="52">
        <f t="shared" si="7"/>
        <v>0.050011</v>
      </c>
      <c r="X165" s="52">
        <f t="shared" si="8"/>
        <v>0.134645</v>
      </c>
    </row>
    <row r="166" ht="15.0" customHeight="1">
      <c r="A166" s="51">
        <v>34.0</v>
      </c>
      <c r="B166" s="51" t="s">
        <v>61</v>
      </c>
      <c r="C166" s="51">
        <v>208.0</v>
      </c>
      <c r="D166" s="51" t="s">
        <v>22</v>
      </c>
      <c r="E166" s="51" t="s">
        <v>23</v>
      </c>
      <c r="F166" s="51" t="s">
        <v>299</v>
      </c>
      <c r="G166" s="51" t="s">
        <v>300</v>
      </c>
      <c r="H166" s="52">
        <v>19.6</v>
      </c>
      <c r="I166" s="52">
        <v>19.6</v>
      </c>
      <c r="J166" s="52">
        <v>88.48</v>
      </c>
      <c r="K166" s="52">
        <f t="shared" si="39"/>
        <v>19.74934828</v>
      </c>
      <c r="L166" s="52">
        <f t="shared" si="2"/>
        <v>59.24804483</v>
      </c>
      <c r="M166" s="52">
        <v>48.76</v>
      </c>
      <c r="N166" s="52">
        <v>80.73</v>
      </c>
      <c r="O166" s="52">
        <v>15.37</v>
      </c>
      <c r="P166" s="52">
        <v>1.75</v>
      </c>
      <c r="Q166" s="52">
        <v>0.33</v>
      </c>
      <c r="R166" s="52">
        <v>0.57</v>
      </c>
      <c r="S166" s="52">
        <f t="shared" si="3"/>
        <v>9.55696</v>
      </c>
      <c r="T166" s="52">
        <f t="shared" si="4"/>
        <v>15.82308</v>
      </c>
      <c r="U166" s="52">
        <f t="shared" si="5"/>
        <v>3.01252</v>
      </c>
      <c r="V166" s="52">
        <f t="shared" si="6"/>
        <v>0.343</v>
      </c>
      <c r="W166" s="52">
        <f t="shared" si="7"/>
        <v>0.06468</v>
      </c>
      <c r="X166" s="52">
        <f t="shared" si="8"/>
        <v>0.11172</v>
      </c>
    </row>
    <row r="167" ht="15.0" customHeight="1">
      <c r="A167" s="51">
        <v>34.0</v>
      </c>
      <c r="B167" s="51" t="s">
        <v>61</v>
      </c>
      <c r="C167" s="51">
        <v>213.0</v>
      </c>
      <c r="D167" s="51" t="s">
        <v>24</v>
      </c>
      <c r="E167" s="51" t="s">
        <v>26</v>
      </c>
      <c r="F167" s="51" t="s">
        <v>299</v>
      </c>
      <c r="G167" s="51" t="s">
        <v>300</v>
      </c>
      <c r="H167" s="52">
        <v>1.66</v>
      </c>
      <c r="I167" s="52">
        <v>1.66</v>
      </c>
      <c r="J167" s="52">
        <v>99.89</v>
      </c>
      <c r="K167" s="52">
        <f t="shared" si="39"/>
        <v>1.481589482</v>
      </c>
      <c r="L167" s="52">
        <f t="shared" si="2"/>
        <v>4.444768445</v>
      </c>
      <c r="M167" s="52">
        <v>0.0</v>
      </c>
      <c r="N167" s="52">
        <v>0.0</v>
      </c>
      <c r="O167" s="52">
        <v>0.0</v>
      </c>
      <c r="P167" s="52">
        <v>0.0</v>
      </c>
      <c r="Q167" s="52">
        <v>37.35</v>
      </c>
      <c r="R167" s="52">
        <v>0.01</v>
      </c>
      <c r="S167" s="52">
        <f t="shared" si="3"/>
        <v>0</v>
      </c>
      <c r="T167" s="52">
        <f t="shared" si="4"/>
        <v>0</v>
      </c>
      <c r="U167" s="52">
        <f t="shared" si="5"/>
        <v>0</v>
      </c>
      <c r="V167" s="52">
        <f t="shared" si="6"/>
        <v>0</v>
      </c>
      <c r="W167" s="52">
        <f t="shared" si="7"/>
        <v>0.62001</v>
      </c>
      <c r="X167" s="52">
        <f t="shared" si="8"/>
        <v>0.000166</v>
      </c>
    </row>
    <row r="168" ht="15.0" customHeight="1">
      <c r="A168" s="51">
        <v>35.0</v>
      </c>
      <c r="B168" s="51" t="s">
        <v>61</v>
      </c>
      <c r="C168" s="51">
        <v>192.0</v>
      </c>
      <c r="D168" s="51" t="s">
        <v>16</v>
      </c>
      <c r="E168" s="51" t="s">
        <v>17</v>
      </c>
      <c r="F168" s="51" t="s">
        <v>299</v>
      </c>
      <c r="G168" s="51" t="s">
        <v>300</v>
      </c>
      <c r="H168" s="52">
        <v>20.12965138137853</v>
      </c>
      <c r="I168" s="52">
        <v>20.13</v>
      </c>
      <c r="J168" s="52">
        <v>88.05</v>
      </c>
      <c r="K168" s="52">
        <f t="shared" ref="K168:K171" si="40">IF(J168&gt;0,(I168/J168)/SUMPRODUCT($I$168:$I$171/$J$168:$J$171)*100,"")</f>
        <v>20.19301001</v>
      </c>
      <c r="L168" s="52">
        <f t="shared" si="2"/>
        <v>60.57903004</v>
      </c>
      <c r="M168" s="52">
        <v>17.12</v>
      </c>
      <c r="N168" s="52">
        <v>71.35</v>
      </c>
      <c r="O168" s="52">
        <v>43.96</v>
      </c>
      <c r="P168" s="52">
        <v>3.58</v>
      </c>
      <c r="Q168" s="52">
        <v>0.19</v>
      </c>
      <c r="R168" s="52">
        <v>0.95</v>
      </c>
      <c r="S168" s="52">
        <f t="shared" si="3"/>
        <v>3.446256</v>
      </c>
      <c r="T168" s="52">
        <f t="shared" si="4"/>
        <v>14.362755</v>
      </c>
      <c r="U168" s="52">
        <f t="shared" si="5"/>
        <v>8.849148</v>
      </c>
      <c r="V168" s="52">
        <f t="shared" si="6"/>
        <v>0.720654</v>
      </c>
      <c r="W168" s="52">
        <f t="shared" si="7"/>
        <v>0.038247</v>
      </c>
      <c r="X168" s="52">
        <f t="shared" si="8"/>
        <v>0.191235</v>
      </c>
    </row>
    <row r="169" ht="15.0" customHeight="1">
      <c r="A169" s="51">
        <v>35.0</v>
      </c>
      <c r="B169" s="51" t="s">
        <v>61</v>
      </c>
      <c r="C169" s="51">
        <v>188.0</v>
      </c>
      <c r="D169" s="51" t="s">
        <v>16</v>
      </c>
      <c r="E169" s="51" t="s">
        <v>19</v>
      </c>
      <c r="F169" s="51" t="s">
        <v>299</v>
      </c>
      <c r="G169" s="51" t="s">
        <v>300</v>
      </c>
      <c r="H169" s="52">
        <v>42.67792558816868</v>
      </c>
      <c r="I169" s="52">
        <v>42.68</v>
      </c>
      <c r="J169" s="52">
        <v>87.78</v>
      </c>
      <c r="K169" s="52">
        <f t="shared" si="40"/>
        <v>42.94528412</v>
      </c>
      <c r="L169" s="52">
        <f t="shared" si="2"/>
        <v>128.8358524</v>
      </c>
      <c r="M169" s="52">
        <v>9.1</v>
      </c>
      <c r="N169" s="52">
        <v>86.03</v>
      </c>
      <c r="O169" s="52">
        <v>14.39</v>
      </c>
      <c r="P169" s="52">
        <v>4.18</v>
      </c>
      <c r="Q169" s="52">
        <v>0.03</v>
      </c>
      <c r="R169" s="52">
        <v>0.25</v>
      </c>
      <c r="S169" s="52">
        <f t="shared" si="3"/>
        <v>3.88388</v>
      </c>
      <c r="T169" s="52">
        <f t="shared" si="4"/>
        <v>36.717604</v>
      </c>
      <c r="U169" s="52">
        <f t="shared" si="5"/>
        <v>6.141652</v>
      </c>
      <c r="V169" s="52">
        <f t="shared" si="6"/>
        <v>1.784024</v>
      </c>
      <c r="W169" s="52">
        <f t="shared" si="7"/>
        <v>0.012804</v>
      </c>
      <c r="X169" s="52">
        <f t="shared" si="8"/>
        <v>0.1067</v>
      </c>
    </row>
    <row r="170" ht="15.0" customHeight="1">
      <c r="A170" s="51">
        <v>35.0</v>
      </c>
      <c r="B170" s="51" t="s">
        <v>61</v>
      </c>
      <c r="C170" s="51">
        <v>208.0</v>
      </c>
      <c r="D170" s="51" t="s">
        <v>22</v>
      </c>
      <c r="E170" s="51" t="s">
        <v>23</v>
      </c>
      <c r="F170" s="51" t="s">
        <v>299</v>
      </c>
      <c r="G170" s="51" t="s">
        <v>300</v>
      </c>
      <c r="H170" s="52">
        <v>34.88645610436246</v>
      </c>
      <c r="I170" s="52">
        <v>34.88</v>
      </c>
      <c r="J170" s="52">
        <v>88.48</v>
      </c>
      <c r="K170" s="52">
        <f t="shared" si="40"/>
        <v>34.81913745</v>
      </c>
      <c r="L170" s="52">
        <f t="shared" si="2"/>
        <v>104.4574123</v>
      </c>
      <c r="M170" s="52">
        <v>48.76</v>
      </c>
      <c r="N170" s="52">
        <v>80.73</v>
      </c>
      <c r="O170" s="52">
        <v>15.37</v>
      </c>
      <c r="P170" s="52">
        <v>1.75</v>
      </c>
      <c r="Q170" s="52">
        <v>0.33</v>
      </c>
      <c r="R170" s="52">
        <v>0.57</v>
      </c>
      <c r="S170" s="52">
        <f t="shared" si="3"/>
        <v>17.007488</v>
      </c>
      <c r="T170" s="52">
        <f t="shared" si="4"/>
        <v>28.158624</v>
      </c>
      <c r="U170" s="52">
        <f t="shared" si="5"/>
        <v>5.361056</v>
      </c>
      <c r="V170" s="52">
        <f t="shared" si="6"/>
        <v>0.6104</v>
      </c>
      <c r="W170" s="52">
        <f t="shared" si="7"/>
        <v>0.115104</v>
      </c>
      <c r="X170" s="52">
        <f t="shared" si="8"/>
        <v>0.198816</v>
      </c>
    </row>
    <row r="171" ht="15.0" customHeight="1">
      <c r="A171" s="51">
        <v>35.0</v>
      </c>
      <c r="B171" s="51" t="s">
        <v>61</v>
      </c>
      <c r="C171" s="51">
        <v>213.0</v>
      </c>
      <c r="D171" s="51" t="s">
        <v>24</v>
      </c>
      <c r="E171" s="51" t="s">
        <v>26</v>
      </c>
      <c r="F171" s="51" t="s">
        <v>299</v>
      </c>
      <c r="G171" s="51" t="s">
        <v>300</v>
      </c>
      <c r="H171" s="52">
        <v>2.305966926090325</v>
      </c>
      <c r="I171" s="52">
        <v>2.31</v>
      </c>
      <c r="J171" s="52">
        <v>99.89</v>
      </c>
      <c r="K171" s="52">
        <f t="shared" si="40"/>
        <v>2.042568419</v>
      </c>
      <c r="L171" s="52">
        <f t="shared" si="2"/>
        <v>6.127705257</v>
      </c>
      <c r="M171" s="52">
        <v>0.0</v>
      </c>
      <c r="N171" s="52">
        <v>0.0</v>
      </c>
      <c r="O171" s="52">
        <v>0.0</v>
      </c>
      <c r="P171" s="52">
        <v>0.0</v>
      </c>
      <c r="Q171" s="52">
        <v>37.35</v>
      </c>
      <c r="R171" s="52">
        <v>0.01</v>
      </c>
      <c r="S171" s="52">
        <f t="shared" si="3"/>
        <v>0</v>
      </c>
      <c r="T171" s="52">
        <f t="shared" si="4"/>
        <v>0</v>
      </c>
      <c r="U171" s="52">
        <f t="shared" si="5"/>
        <v>0</v>
      </c>
      <c r="V171" s="52">
        <f t="shared" si="6"/>
        <v>0</v>
      </c>
      <c r="W171" s="52">
        <f t="shared" si="7"/>
        <v>0.862785</v>
      </c>
      <c r="X171" s="52">
        <f t="shared" si="8"/>
        <v>0.000231</v>
      </c>
    </row>
    <row r="172" ht="15.0" customHeight="1">
      <c r="A172" s="51">
        <v>36.0</v>
      </c>
      <c r="B172" s="51" t="s">
        <v>61</v>
      </c>
      <c r="C172" s="51">
        <v>188.0</v>
      </c>
      <c r="D172" s="51" t="s">
        <v>16</v>
      </c>
      <c r="E172" s="51" t="s">
        <v>19</v>
      </c>
      <c r="F172" s="51" t="s">
        <v>299</v>
      </c>
      <c r="G172" s="51" t="s">
        <v>300</v>
      </c>
      <c r="H172" s="52">
        <v>34.358566119149444</v>
      </c>
      <c r="I172" s="52">
        <v>34.36</v>
      </c>
      <c r="J172" s="52">
        <v>87.78</v>
      </c>
      <c r="K172" s="52">
        <f t="shared" ref="K172:K175" si="41">IF(J172&gt;0,(I172/J172)/SUMPRODUCT($I$172:$I$175/$J$172:$J$175)*100,"")</f>
        <v>34.85065104</v>
      </c>
      <c r="L172" s="52">
        <f t="shared" si="2"/>
        <v>104.5519531</v>
      </c>
      <c r="M172" s="52">
        <v>9.1</v>
      </c>
      <c r="N172" s="52">
        <v>86.03</v>
      </c>
      <c r="O172" s="52">
        <v>14.39</v>
      </c>
      <c r="P172" s="52">
        <v>4.18</v>
      </c>
      <c r="Q172" s="52">
        <v>0.03</v>
      </c>
      <c r="R172" s="52">
        <v>0.25</v>
      </c>
      <c r="S172" s="52">
        <f t="shared" si="3"/>
        <v>3.12676</v>
      </c>
      <c r="T172" s="52">
        <f t="shared" si="4"/>
        <v>29.559908</v>
      </c>
      <c r="U172" s="52">
        <f t="shared" si="5"/>
        <v>4.944404</v>
      </c>
      <c r="V172" s="52">
        <f t="shared" si="6"/>
        <v>1.436248</v>
      </c>
      <c r="W172" s="52">
        <f t="shared" si="7"/>
        <v>0.010308</v>
      </c>
      <c r="X172" s="52">
        <f t="shared" si="8"/>
        <v>0.0859</v>
      </c>
    </row>
    <row r="173" ht="15.0" customHeight="1">
      <c r="A173" s="51">
        <v>36.0</v>
      </c>
      <c r="B173" s="51" t="s">
        <v>61</v>
      </c>
      <c r="C173" s="51">
        <v>173.0</v>
      </c>
      <c r="D173" s="51" t="s">
        <v>16</v>
      </c>
      <c r="E173" s="51" t="s">
        <v>52</v>
      </c>
      <c r="F173" s="51" t="s">
        <v>299</v>
      </c>
      <c r="G173" s="51" t="s">
        <v>300</v>
      </c>
      <c r="H173" s="52">
        <v>28.219387870076286</v>
      </c>
      <c r="I173" s="52">
        <v>28.22</v>
      </c>
      <c r="J173" s="52">
        <v>90.57</v>
      </c>
      <c r="K173" s="52">
        <f t="shared" si="41"/>
        <v>27.74124568</v>
      </c>
      <c r="L173" s="52">
        <f t="shared" si="2"/>
        <v>83.22373704</v>
      </c>
      <c r="M173" s="52">
        <v>14.21</v>
      </c>
      <c r="N173" s="52">
        <v>75.24</v>
      </c>
      <c r="O173" s="52">
        <v>27.69</v>
      </c>
      <c r="P173" s="52">
        <v>5.13</v>
      </c>
      <c r="Q173" s="52">
        <v>0.13</v>
      </c>
      <c r="R173" s="52">
        <v>0.35</v>
      </c>
      <c r="S173" s="52">
        <f t="shared" si="3"/>
        <v>4.010062</v>
      </c>
      <c r="T173" s="52">
        <f t="shared" si="4"/>
        <v>21.232728</v>
      </c>
      <c r="U173" s="52">
        <f t="shared" si="5"/>
        <v>7.814118</v>
      </c>
      <c r="V173" s="52">
        <f t="shared" si="6"/>
        <v>1.447686</v>
      </c>
      <c r="W173" s="52">
        <f t="shared" si="7"/>
        <v>0.036686</v>
      </c>
      <c r="X173" s="52">
        <f t="shared" si="8"/>
        <v>0.09877</v>
      </c>
    </row>
    <row r="174" ht="15.0" customHeight="1">
      <c r="A174" s="51">
        <v>36.0</v>
      </c>
      <c r="B174" s="51" t="s">
        <v>61</v>
      </c>
      <c r="C174" s="51">
        <v>208.0</v>
      </c>
      <c r="D174" s="51" t="s">
        <v>22</v>
      </c>
      <c r="E174" s="51" t="s">
        <v>23</v>
      </c>
      <c r="F174" s="51" t="s">
        <v>299</v>
      </c>
      <c r="G174" s="51" t="s">
        <v>300</v>
      </c>
      <c r="H174" s="52">
        <v>35.28494334004296</v>
      </c>
      <c r="I174" s="52">
        <v>35.28</v>
      </c>
      <c r="J174" s="52">
        <v>88.48</v>
      </c>
      <c r="K174" s="52">
        <f t="shared" si="41"/>
        <v>35.50068879</v>
      </c>
      <c r="L174" s="52">
        <f t="shared" si="2"/>
        <v>106.5020664</v>
      </c>
      <c r="M174" s="52">
        <v>48.76</v>
      </c>
      <c r="N174" s="52">
        <v>80.73</v>
      </c>
      <c r="O174" s="52">
        <v>15.37</v>
      </c>
      <c r="P174" s="52">
        <v>1.75</v>
      </c>
      <c r="Q174" s="52">
        <v>0.33</v>
      </c>
      <c r="R174" s="52">
        <v>0.57</v>
      </c>
      <c r="S174" s="52">
        <f t="shared" si="3"/>
        <v>17.202528</v>
      </c>
      <c r="T174" s="52">
        <f t="shared" si="4"/>
        <v>28.481544</v>
      </c>
      <c r="U174" s="52">
        <f t="shared" si="5"/>
        <v>5.422536</v>
      </c>
      <c r="V174" s="52">
        <f t="shared" si="6"/>
        <v>0.6174</v>
      </c>
      <c r="W174" s="52">
        <f t="shared" si="7"/>
        <v>0.116424</v>
      </c>
      <c r="X174" s="52">
        <f t="shared" si="8"/>
        <v>0.201096</v>
      </c>
    </row>
    <row r="175" ht="15.0" customHeight="1">
      <c r="A175" s="51">
        <v>36.0</v>
      </c>
      <c r="B175" s="51" t="s">
        <v>61</v>
      </c>
      <c r="C175" s="51">
        <v>213.0</v>
      </c>
      <c r="D175" s="51" t="s">
        <v>24</v>
      </c>
      <c r="E175" s="51" t="s">
        <v>26</v>
      </c>
      <c r="F175" s="51" t="s">
        <v>299</v>
      </c>
      <c r="G175" s="51" t="s">
        <v>300</v>
      </c>
      <c r="H175" s="52">
        <v>2.137102670731313</v>
      </c>
      <c r="I175" s="52">
        <v>2.14</v>
      </c>
      <c r="J175" s="52">
        <v>99.89</v>
      </c>
      <c r="K175" s="52">
        <f t="shared" si="41"/>
        <v>1.907414488</v>
      </c>
      <c r="L175" s="52">
        <f t="shared" si="2"/>
        <v>5.722243465</v>
      </c>
      <c r="M175" s="52">
        <v>0.0</v>
      </c>
      <c r="N175" s="52">
        <v>0.0</v>
      </c>
      <c r="O175" s="52">
        <v>0.0</v>
      </c>
      <c r="P175" s="52">
        <v>0.0</v>
      </c>
      <c r="Q175" s="52">
        <v>37.35</v>
      </c>
      <c r="R175" s="52">
        <v>0.01</v>
      </c>
      <c r="S175" s="52">
        <f t="shared" si="3"/>
        <v>0</v>
      </c>
      <c r="T175" s="52">
        <f t="shared" si="4"/>
        <v>0</v>
      </c>
      <c r="U175" s="52">
        <f t="shared" si="5"/>
        <v>0</v>
      </c>
      <c r="V175" s="52">
        <f t="shared" si="6"/>
        <v>0</v>
      </c>
      <c r="W175" s="52">
        <f t="shared" si="7"/>
        <v>0.79929</v>
      </c>
      <c r="X175" s="52">
        <f t="shared" si="8"/>
        <v>0.000214</v>
      </c>
    </row>
    <row r="176" ht="15.0" customHeight="1">
      <c r="A176" s="51">
        <v>37.0</v>
      </c>
      <c r="B176" s="51" t="s">
        <v>61</v>
      </c>
      <c r="C176" s="51">
        <v>192.0</v>
      </c>
      <c r="D176" s="51" t="s">
        <v>16</v>
      </c>
      <c r="E176" s="51" t="s">
        <v>17</v>
      </c>
      <c r="F176" s="51" t="s">
        <v>299</v>
      </c>
      <c r="G176" s="51" t="s">
        <v>300</v>
      </c>
      <c r="H176" s="52">
        <v>19.380000000000003</v>
      </c>
      <c r="I176" s="52">
        <v>19.380000000000003</v>
      </c>
      <c r="J176" s="52">
        <v>88.05</v>
      </c>
      <c r="K176" s="52">
        <f t="shared" ref="K176:K179" si="42">IF(J176&gt;0,(I176/J176)/SUMPRODUCT($I$176:$I$179/$J$176:$J$179)*100,"")</f>
        <v>19.38648677</v>
      </c>
      <c r="L176" s="52">
        <f t="shared" si="2"/>
        <v>58.1594603</v>
      </c>
      <c r="M176" s="52">
        <v>17.12</v>
      </c>
      <c r="N176" s="52">
        <v>71.35</v>
      </c>
      <c r="O176" s="52">
        <v>43.96</v>
      </c>
      <c r="P176" s="52">
        <v>3.58</v>
      </c>
      <c r="Q176" s="52">
        <v>0.19</v>
      </c>
      <c r="R176" s="52">
        <v>0.95</v>
      </c>
      <c r="S176" s="52">
        <f t="shared" si="3"/>
        <v>3.317856</v>
      </c>
      <c r="T176" s="52">
        <f t="shared" si="4"/>
        <v>13.82763</v>
      </c>
      <c r="U176" s="52">
        <f t="shared" si="5"/>
        <v>8.519448</v>
      </c>
      <c r="V176" s="52">
        <f t="shared" si="6"/>
        <v>0.693804</v>
      </c>
      <c r="W176" s="52">
        <f t="shared" si="7"/>
        <v>0.036822</v>
      </c>
      <c r="X176" s="52">
        <f t="shared" si="8"/>
        <v>0.18411</v>
      </c>
    </row>
    <row r="177" ht="15.0" customHeight="1">
      <c r="A177" s="51">
        <v>37.0</v>
      </c>
      <c r="B177" s="51" t="s">
        <v>61</v>
      </c>
      <c r="C177" s="51">
        <v>188.0</v>
      </c>
      <c r="D177" s="51" t="s">
        <v>16</v>
      </c>
      <c r="E177" s="51" t="s">
        <v>19</v>
      </c>
      <c r="F177" s="51" t="s">
        <v>299</v>
      </c>
      <c r="G177" s="51" t="s">
        <v>300</v>
      </c>
      <c r="H177" s="52">
        <v>73.66</v>
      </c>
      <c r="I177" s="52">
        <v>73.66</v>
      </c>
      <c r="J177" s="52">
        <v>87.78</v>
      </c>
      <c r="K177" s="52">
        <f t="shared" si="42"/>
        <v>73.9112996</v>
      </c>
      <c r="L177" s="52">
        <f t="shared" si="2"/>
        <v>221.7338988</v>
      </c>
      <c r="M177" s="52">
        <v>9.1</v>
      </c>
      <c r="N177" s="52">
        <v>86.03</v>
      </c>
      <c r="O177" s="52">
        <v>14.39</v>
      </c>
      <c r="P177" s="52">
        <v>4.18</v>
      </c>
      <c r="Q177" s="52">
        <v>0.03</v>
      </c>
      <c r="R177" s="52">
        <v>0.25</v>
      </c>
      <c r="S177" s="52">
        <f t="shared" si="3"/>
        <v>6.70306</v>
      </c>
      <c r="T177" s="52">
        <f t="shared" si="4"/>
        <v>63.369698</v>
      </c>
      <c r="U177" s="52">
        <f t="shared" si="5"/>
        <v>10.599674</v>
      </c>
      <c r="V177" s="52">
        <f t="shared" si="6"/>
        <v>3.078988</v>
      </c>
      <c r="W177" s="52">
        <f t="shared" si="7"/>
        <v>0.022098</v>
      </c>
      <c r="X177" s="52">
        <f t="shared" si="8"/>
        <v>0.18415</v>
      </c>
    </row>
    <row r="178" ht="15.0" customHeight="1">
      <c r="A178" s="51">
        <v>37.0</v>
      </c>
      <c r="B178" s="51" t="s">
        <v>61</v>
      </c>
      <c r="C178" s="51">
        <v>208.0</v>
      </c>
      <c r="D178" s="51" t="s">
        <v>22</v>
      </c>
      <c r="E178" s="51" t="s">
        <v>23</v>
      </c>
      <c r="F178" s="51" t="s">
        <v>299</v>
      </c>
      <c r="G178" s="51" t="s">
        <v>300</v>
      </c>
      <c r="H178" s="52">
        <v>4.97</v>
      </c>
      <c r="I178" s="52">
        <v>4.97</v>
      </c>
      <c r="J178" s="52">
        <v>88.48</v>
      </c>
      <c r="K178" s="52">
        <f t="shared" si="42"/>
        <v>4.947501965</v>
      </c>
      <c r="L178" s="52">
        <f t="shared" si="2"/>
        <v>14.8425059</v>
      </c>
      <c r="M178" s="52">
        <v>48.76</v>
      </c>
      <c r="N178" s="52">
        <v>80.73</v>
      </c>
      <c r="O178" s="52">
        <v>15.37</v>
      </c>
      <c r="P178" s="52">
        <v>1.75</v>
      </c>
      <c r="Q178" s="52">
        <v>0.33</v>
      </c>
      <c r="R178" s="52">
        <v>0.57</v>
      </c>
      <c r="S178" s="52">
        <f t="shared" si="3"/>
        <v>2.423372</v>
      </c>
      <c r="T178" s="52">
        <f t="shared" si="4"/>
        <v>4.012281</v>
      </c>
      <c r="U178" s="52">
        <f t="shared" si="5"/>
        <v>0.763889</v>
      </c>
      <c r="V178" s="52">
        <f t="shared" si="6"/>
        <v>0.086975</v>
      </c>
      <c r="W178" s="52">
        <f t="shared" si="7"/>
        <v>0.016401</v>
      </c>
      <c r="X178" s="52">
        <f t="shared" si="8"/>
        <v>0.028329</v>
      </c>
    </row>
    <row r="179" ht="15.0" customHeight="1">
      <c r="A179" s="51">
        <v>37.0</v>
      </c>
      <c r="B179" s="51" t="s">
        <v>61</v>
      </c>
      <c r="C179" s="51">
        <v>213.0</v>
      </c>
      <c r="D179" s="51" t="s">
        <v>24</v>
      </c>
      <c r="E179" s="51" t="s">
        <v>26</v>
      </c>
      <c r="F179" s="51" t="s">
        <v>299</v>
      </c>
      <c r="G179" s="51" t="s">
        <v>300</v>
      </c>
      <c r="H179" s="52">
        <v>1.9900000000000004</v>
      </c>
      <c r="I179" s="52">
        <v>1.9900000000000004</v>
      </c>
      <c r="J179" s="52">
        <v>99.89</v>
      </c>
      <c r="K179" s="52">
        <f t="shared" si="42"/>
        <v>1.754711668</v>
      </c>
      <c r="L179" s="52">
        <f t="shared" si="2"/>
        <v>5.264135004</v>
      </c>
      <c r="M179" s="52">
        <v>0.0</v>
      </c>
      <c r="N179" s="52">
        <v>0.0</v>
      </c>
      <c r="O179" s="52">
        <v>0.0</v>
      </c>
      <c r="P179" s="52">
        <v>0.0</v>
      </c>
      <c r="Q179" s="52">
        <v>37.35</v>
      </c>
      <c r="R179" s="52">
        <v>0.01</v>
      </c>
      <c r="S179" s="52">
        <f t="shared" si="3"/>
        <v>0</v>
      </c>
      <c r="T179" s="52">
        <f t="shared" si="4"/>
        <v>0</v>
      </c>
      <c r="U179" s="52">
        <f t="shared" si="5"/>
        <v>0</v>
      </c>
      <c r="V179" s="52">
        <f t="shared" si="6"/>
        <v>0</v>
      </c>
      <c r="W179" s="52">
        <f t="shared" si="7"/>
        <v>0.743265</v>
      </c>
      <c r="X179" s="52">
        <f t="shared" si="8"/>
        <v>0.000199</v>
      </c>
    </row>
    <row r="180" ht="15.0" customHeight="1">
      <c r="A180" s="51">
        <v>38.0</v>
      </c>
      <c r="B180" s="51" t="s">
        <v>61</v>
      </c>
      <c r="C180" s="51">
        <v>188.0</v>
      </c>
      <c r="D180" s="51" t="s">
        <v>16</v>
      </c>
      <c r="E180" s="51" t="s">
        <v>19</v>
      </c>
      <c r="F180" s="51" t="s">
        <v>299</v>
      </c>
      <c r="G180" s="51" t="s">
        <v>300</v>
      </c>
      <c r="H180" s="52">
        <v>47.94814951423294</v>
      </c>
      <c r="I180" s="52">
        <v>47.95</v>
      </c>
      <c r="J180" s="52">
        <v>87.78</v>
      </c>
      <c r="K180" s="52">
        <f t="shared" ref="K180:K183" si="43">IF(J180&gt;0,(I180/J180)/SUMPRODUCT($I$180:$I$183/$J$180:$J$183)*100,"")</f>
        <v>48.76651205</v>
      </c>
      <c r="L180" s="52">
        <f t="shared" si="2"/>
        <v>146.2995362</v>
      </c>
      <c r="M180" s="52">
        <v>9.1</v>
      </c>
      <c r="N180" s="52">
        <v>86.03</v>
      </c>
      <c r="O180" s="52">
        <v>14.39</v>
      </c>
      <c r="P180" s="52">
        <v>4.18</v>
      </c>
      <c r="Q180" s="52">
        <v>0.03</v>
      </c>
      <c r="R180" s="52">
        <v>0.25</v>
      </c>
      <c r="S180" s="52">
        <f t="shared" si="3"/>
        <v>4.36345</v>
      </c>
      <c r="T180" s="52">
        <f t="shared" si="4"/>
        <v>41.251385</v>
      </c>
      <c r="U180" s="52">
        <f t="shared" si="5"/>
        <v>6.900005</v>
      </c>
      <c r="V180" s="52">
        <f t="shared" si="6"/>
        <v>2.00431</v>
      </c>
      <c r="W180" s="52">
        <f t="shared" si="7"/>
        <v>0.014385</v>
      </c>
      <c r="X180" s="52">
        <f t="shared" si="8"/>
        <v>0.119875</v>
      </c>
    </row>
    <row r="181" ht="15.0" customHeight="1">
      <c r="A181" s="51">
        <v>38.0</v>
      </c>
      <c r="B181" s="51" t="s">
        <v>61</v>
      </c>
      <c r="C181" s="51">
        <v>173.0</v>
      </c>
      <c r="D181" s="51" t="s">
        <v>16</v>
      </c>
      <c r="E181" s="51" t="s">
        <v>52</v>
      </c>
      <c r="F181" s="51" t="s">
        <v>299</v>
      </c>
      <c r="G181" s="51" t="s">
        <v>300</v>
      </c>
      <c r="H181" s="52">
        <v>48.069210007390666</v>
      </c>
      <c r="I181" s="52">
        <v>48.07</v>
      </c>
      <c r="J181" s="52">
        <v>90.57</v>
      </c>
      <c r="K181" s="52">
        <f t="shared" si="43"/>
        <v>47.38254829</v>
      </c>
      <c r="L181" s="52">
        <f t="shared" si="2"/>
        <v>142.1476449</v>
      </c>
      <c r="M181" s="52">
        <v>14.21</v>
      </c>
      <c r="N181" s="52">
        <v>75.24</v>
      </c>
      <c r="O181" s="52">
        <v>27.69</v>
      </c>
      <c r="P181" s="52">
        <v>5.13</v>
      </c>
      <c r="Q181" s="52">
        <v>0.13</v>
      </c>
      <c r="R181" s="52">
        <v>0.35</v>
      </c>
      <c r="S181" s="52">
        <f t="shared" si="3"/>
        <v>6.830747</v>
      </c>
      <c r="T181" s="52">
        <f t="shared" si="4"/>
        <v>36.167868</v>
      </c>
      <c r="U181" s="52">
        <f t="shared" si="5"/>
        <v>13.310583</v>
      </c>
      <c r="V181" s="52">
        <f t="shared" si="6"/>
        <v>2.465991</v>
      </c>
      <c r="W181" s="52">
        <f t="shared" si="7"/>
        <v>0.062491</v>
      </c>
      <c r="X181" s="52">
        <f t="shared" si="8"/>
        <v>0.168245</v>
      </c>
    </row>
    <row r="182" ht="15.0" customHeight="1">
      <c r="A182" s="51">
        <v>38.0</v>
      </c>
      <c r="B182" s="51" t="s">
        <v>61</v>
      </c>
      <c r="C182" s="51">
        <v>208.0</v>
      </c>
      <c r="D182" s="51" t="s">
        <v>22</v>
      </c>
      <c r="E182" s="51" t="s">
        <v>23</v>
      </c>
      <c r="F182" s="51" t="s">
        <v>299</v>
      </c>
      <c r="G182" s="51" t="s">
        <v>300</v>
      </c>
      <c r="H182" s="52">
        <v>2.5563795786920327</v>
      </c>
      <c r="I182" s="52">
        <v>2.55</v>
      </c>
      <c r="J182" s="52">
        <v>88.48</v>
      </c>
      <c r="K182" s="52">
        <f t="shared" si="43"/>
        <v>2.572904852</v>
      </c>
      <c r="L182" s="52">
        <f t="shared" si="2"/>
        <v>7.718714555</v>
      </c>
      <c r="M182" s="52">
        <v>48.76</v>
      </c>
      <c r="N182" s="52">
        <v>80.73</v>
      </c>
      <c r="O182" s="52">
        <v>15.37</v>
      </c>
      <c r="P182" s="52">
        <v>1.75</v>
      </c>
      <c r="Q182" s="52">
        <v>0.33</v>
      </c>
      <c r="R182" s="52">
        <v>0.57</v>
      </c>
      <c r="S182" s="52">
        <f t="shared" si="3"/>
        <v>1.24338</v>
      </c>
      <c r="T182" s="52">
        <f t="shared" si="4"/>
        <v>2.058615</v>
      </c>
      <c r="U182" s="52">
        <f t="shared" si="5"/>
        <v>0.391935</v>
      </c>
      <c r="V182" s="52">
        <f t="shared" si="6"/>
        <v>0.044625</v>
      </c>
      <c r="W182" s="52">
        <f t="shared" si="7"/>
        <v>0.008415</v>
      </c>
      <c r="X182" s="52">
        <f t="shared" si="8"/>
        <v>0.014535</v>
      </c>
    </row>
    <row r="183" ht="15.0" customHeight="1">
      <c r="A183" s="51">
        <v>38.0</v>
      </c>
      <c r="B183" s="51" t="s">
        <v>61</v>
      </c>
      <c r="C183" s="51">
        <v>213.0</v>
      </c>
      <c r="D183" s="51" t="s">
        <v>24</v>
      </c>
      <c r="E183" s="51" t="s">
        <v>26</v>
      </c>
      <c r="F183" s="51" t="s">
        <v>299</v>
      </c>
      <c r="G183" s="51" t="s">
        <v>300</v>
      </c>
      <c r="H183" s="52">
        <v>1.4262608996843633</v>
      </c>
      <c r="I183" s="52">
        <v>1.43</v>
      </c>
      <c r="J183" s="52">
        <v>99.89</v>
      </c>
      <c r="K183" s="52">
        <f t="shared" si="43"/>
        <v>1.278034813</v>
      </c>
      <c r="L183" s="52">
        <f t="shared" si="2"/>
        <v>3.834104438</v>
      </c>
      <c r="M183" s="52">
        <v>0.0</v>
      </c>
      <c r="N183" s="52">
        <v>0.0</v>
      </c>
      <c r="O183" s="52">
        <v>0.0</v>
      </c>
      <c r="P183" s="52">
        <v>0.0</v>
      </c>
      <c r="Q183" s="52">
        <v>37.35</v>
      </c>
      <c r="R183" s="52">
        <v>0.01</v>
      </c>
      <c r="S183" s="52">
        <f t="shared" si="3"/>
        <v>0</v>
      </c>
      <c r="T183" s="52">
        <f t="shared" si="4"/>
        <v>0</v>
      </c>
      <c r="U183" s="52">
        <f t="shared" si="5"/>
        <v>0</v>
      </c>
      <c r="V183" s="52">
        <f t="shared" si="6"/>
        <v>0</v>
      </c>
      <c r="W183" s="52">
        <f t="shared" si="7"/>
        <v>0.534105</v>
      </c>
      <c r="X183" s="52">
        <f t="shared" si="8"/>
        <v>0.000143</v>
      </c>
    </row>
    <row r="184" ht="15.0" customHeight="1">
      <c r="A184" s="51">
        <v>39.0</v>
      </c>
      <c r="B184" s="51" t="s">
        <v>61</v>
      </c>
      <c r="C184" s="51">
        <v>192.0</v>
      </c>
      <c r="D184" s="51" t="s">
        <v>16</v>
      </c>
      <c r="E184" s="51" t="s">
        <v>17</v>
      </c>
      <c r="F184" s="51" t="s">
        <v>299</v>
      </c>
      <c r="G184" s="51" t="s">
        <v>300</v>
      </c>
      <c r="H184" s="52">
        <v>27.04</v>
      </c>
      <c r="I184" s="52">
        <v>27.04</v>
      </c>
      <c r="J184" s="52">
        <v>88.05</v>
      </c>
      <c r="K184" s="52">
        <f t="shared" ref="K184:K187" si="44">IF(J184&gt;0,(I184/J184)/SUMPRODUCT($I$184:$I$187/$J$184:$J$187)*100,"")</f>
        <v>27.06868384</v>
      </c>
      <c r="L184" s="52">
        <f t="shared" si="2"/>
        <v>81.20605152</v>
      </c>
      <c r="M184" s="52">
        <v>17.12</v>
      </c>
      <c r="N184" s="52">
        <v>71.35</v>
      </c>
      <c r="O184" s="52">
        <v>43.96</v>
      </c>
      <c r="P184" s="52">
        <v>3.58</v>
      </c>
      <c r="Q184" s="52">
        <v>0.19</v>
      </c>
      <c r="R184" s="52">
        <v>0.95</v>
      </c>
      <c r="S184" s="52">
        <f t="shared" si="3"/>
        <v>4.629248</v>
      </c>
      <c r="T184" s="52">
        <f t="shared" si="4"/>
        <v>19.29304</v>
      </c>
      <c r="U184" s="52">
        <f t="shared" si="5"/>
        <v>11.886784</v>
      </c>
      <c r="V184" s="52">
        <f t="shared" si="6"/>
        <v>0.968032</v>
      </c>
      <c r="W184" s="52">
        <f t="shared" si="7"/>
        <v>0.051376</v>
      </c>
      <c r="X184" s="52">
        <f t="shared" si="8"/>
        <v>0.25688</v>
      </c>
    </row>
    <row r="185" ht="15.0" customHeight="1">
      <c r="A185" s="51">
        <v>39.0</v>
      </c>
      <c r="B185" s="51" t="s">
        <v>61</v>
      </c>
      <c r="C185" s="51">
        <v>188.0</v>
      </c>
      <c r="D185" s="51" t="s">
        <v>16</v>
      </c>
      <c r="E185" s="51" t="s">
        <v>19</v>
      </c>
      <c r="F185" s="51" t="s">
        <v>299</v>
      </c>
      <c r="G185" s="51" t="s">
        <v>300</v>
      </c>
      <c r="H185" s="52">
        <v>63.27</v>
      </c>
      <c r="I185" s="52">
        <v>63.27</v>
      </c>
      <c r="J185" s="52">
        <v>87.78</v>
      </c>
      <c r="K185" s="52">
        <f t="shared" si="44"/>
        <v>63.5319332</v>
      </c>
      <c r="L185" s="52">
        <f t="shared" si="2"/>
        <v>190.5957996</v>
      </c>
      <c r="M185" s="52">
        <v>9.1</v>
      </c>
      <c r="N185" s="52">
        <v>86.03</v>
      </c>
      <c r="O185" s="52">
        <v>14.39</v>
      </c>
      <c r="P185" s="52">
        <v>4.18</v>
      </c>
      <c r="Q185" s="52">
        <v>0.03</v>
      </c>
      <c r="R185" s="52">
        <v>0.25</v>
      </c>
      <c r="S185" s="52">
        <f t="shared" si="3"/>
        <v>5.75757</v>
      </c>
      <c r="T185" s="52">
        <f t="shared" si="4"/>
        <v>54.431181</v>
      </c>
      <c r="U185" s="52">
        <f t="shared" si="5"/>
        <v>9.104553</v>
      </c>
      <c r="V185" s="52">
        <f t="shared" si="6"/>
        <v>2.644686</v>
      </c>
      <c r="W185" s="52">
        <f t="shared" si="7"/>
        <v>0.018981</v>
      </c>
      <c r="X185" s="52">
        <f t="shared" si="8"/>
        <v>0.158175</v>
      </c>
    </row>
    <row r="186" ht="15.0" customHeight="1">
      <c r="A186" s="51">
        <v>39.0</v>
      </c>
      <c r="B186" s="51" t="s">
        <v>61</v>
      </c>
      <c r="C186" s="51">
        <v>208.0</v>
      </c>
      <c r="D186" s="51" t="s">
        <v>22</v>
      </c>
      <c r="E186" s="51" t="s">
        <v>23</v>
      </c>
      <c r="F186" s="51" t="s">
        <v>299</v>
      </c>
      <c r="G186" s="51" t="s">
        <v>300</v>
      </c>
      <c r="H186" s="52">
        <v>7.46</v>
      </c>
      <c r="I186" s="52">
        <v>7.46</v>
      </c>
      <c r="J186" s="52">
        <v>88.48</v>
      </c>
      <c r="K186" s="52">
        <f t="shared" si="44"/>
        <v>7.431620536</v>
      </c>
      <c r="L186" s="52">
        <f t="shared" si="2"/>
        <v>22.29486161</v>
      </c>
      <c r="M186" s="52">
        <v>48.76</v>
      </c>
      <c r="N186" s="52">
        <v>80.73</v>
      </c>
      <c r="O186" s="52">
        <v>15.37</v>
      </c>
      <c r="P186" s="52">
        <v>1.75</v>
      </c>
      <c r="Q186" s="52">
        <v>0.33</v>
      </c>
      <c r="R186" s="52">
        <v>0.57</v>
      </c>
      <c r="S186" s="52">
        <f t="shared" si="3"/>
        <v>3.637496</v>
      </c>
      <c r="T186" s="52">
        <f t="shared" si="4"/>
        <v>6.022458</v>
      </c>
      <c r="U186" s="52">
        <f t="shared" si="5"/>
        <v>1.146602</v>
      </c>
      <c r="V186" s="52">
        <f t="shared" si="6"/>
        <v>0.13055</v>
      </c>
      <c r="W186" s="52">
        <f t="shared" si="7"/>
        <v>0.024618</v>
      </c>
      <c r="X186" s="52">
        <f t="shared" si="8"/>
        <v>0.042522</v>
      </c>
    </row>
    <row r="187" ht="15.0" customHeight="1">
      <c r="A187" s="51">
        <v>39.0</v>
      </c>
      <c r="B187" s="51" t="s">
        <v>61</v>
      </c>
      <c r="C187" s="51">
        <v>213.0</v>
      </c>
      <c r="D187" s="51" t="s">
        <v>24</v>
      </c>
      <c r="E187" s="51" t="s">
        <v>26</v>
      </c>
      <c r="F187" s="51" t="s">
        <v>299</v>
      </c>
      <c r="G187" s="51" t="s">
        <v>300</v>
      </c>
      <c r="H187" s="52">
        <v>2.23</v>
      </c>
      <c r="I187" s="52">
        <v>2.23</v>
      </c>
      <c r="J187" s="52">
        <v>99.89</v>
      </c>
      <c r="K187" s="52">
        <f t="shared" si="44"/>
        <v>1.967762422</v>
      </c>
      <c r="L187" s="52">
        <f t="shared" si="2"/>
        <v>5.903287265</v>
      </c>
      <c r="M187" s="52">
        <v>0.0</v>
      </c>
      <c r="N187" s="52">
        <v>0.0</v>
      </c>
      <c r="O187" s="52">
        <v>0.0</v>
      </c>
      <c r="P187" s="52">
        <v>0.0</v>
      </c>
      <c r="Q187" s="52">
        <v>37.35</v>
      </c>
      <c r="R187" s="52">
        <v>0.01</v>
      </c>
      <c r="S187" s="52">
        <f t="shared" si="3"/>
        <v>0</v>
      </c>
      <c r="T187" s="52">
        <f t="shared" si="4"/>
        <v>0</v>
      </c>
      <c r="U187" s="52">
        <f t="shared" si="5"/>
        <v>0</v>
      </c>
      <c r="V187" s="52">
        <f t="shared" si="6"/>
        <v>0</v>
      </c>
      <c r="W187" s="52">
        <f t="shared" si="7"/>
        <v>0.832905</v>
      </c>
      <c r="X187" s="52">
        <f t="shared" si="8"/>
        <v>0.000223</v>
      </c>
    </row>
    <row r="188" ht="15.0" customHeight="1">
      <c r="A188" s="51">
        <v>43.0</v>
      </c>
      <c r="B188" s="51" t="s">
        <v>61</v>
      </c>
      <c r="C188" s="51">
        <v>188.0</v>
      </c>
      <c r="D188" s="51" t="s">
        <v>16</v>
      </c>
      <c r="E188" s="51" t="s">
        <v>19</v>
      </c>
      <c r="F188" s="51" t="s">
        <v>299</v>
      </c>
      <c r="G188" s="51" t="s">
        <v>300</v>
      </c>
      <c r="H188" s="52">
        <v>34.149245903891725</v>
      </c>
      <c r="I188" s="52">
        <v>49.2</v>
      </c>
      <c r="J188" s="52">
        <v>87.78</v>
      </c>
      <c r="K188" s="52">
        <f t="shared" ref="K188:K191" si="45">IF(J188&gt;0,(I188/J188)/SUMPRODUCT($I$188:$I$191/$J$188:$J$191)*100,"")</f>
        <v>49.96938673</v>
      </c>
      <c r="L188" s="52">
        <f t="shared" si="2"/>
        <v>149.9081602</v>
      </c>
      <c r="M188" s="52">
        <v>9.1</v>
      </c>
      <c r="N188" s="52">
        <v>86.03</v>
      </c>
      <c r="O188" s="52">
        <v>14.39</v>
      </c>
      <c r="P188" s="52">
        <v>4.18</v>
      </c>
      <c r="Q188" s="52">
        <v>0.03</v>
      </c>
      <c r="R188" s="52">
        <v>0.25</v>
      </c>
      <c r="S188" s="52">
        <f t="shared" si="3"/>
        <v>4.4772</v>
      </c>
      <c r="T188" s="52">
        <f t="shared" si="4"/>
        <v>42.32676</v>
      </c>
      <c r="U188" s="52">
        <f t="shared" si="5"/>
        <v>7.07988</v>
      </c>
      <c r="V188" s="52">
        <f t="shared" si="6"/>
        <v>2.05656</v>
      </c>
      <c r="W188" s="52">
        <f t="shared" si="7"/>
        <v>0.01476</v>
      </c>
      <c r="X188" s="52">
        <f t="shared" si="8"/>
        <v>0.123</v>
      </c>
    </row>
    <row r="189" ht="15.0" customHeight="1">
      <c r="A189" s="51">
        <v>43.0</v>
      </c>
      <c r="B189" s="51" t="s">
        <v>61</v>
      </c>
      <c r="C189" s="51">
        <v>173.0</v>
      </c>
      <c r="D189" s="51" t="s">
        <v>16</v>
      </c>
      <c r="E189" s="51" t="s">
        <v>52</v>
      </c>
      <c r="F189" s="51" t="s">
        <v>299</v>
      </c>
      <c r="G189" s="51" t="s">
        <v>300</v>
      </c>
      <c r="H189" s="52">
        <v>49.65315679181682</v>
      </c>
      <c r="I189" s="52">
        <v>41.83</v>
      </c>
      <c r="J189" s="52">
        <v>90.57</v>
      </c>
      <c r="K189" s="52">
        <f t="shared" si="45"/>
        <v>41.17541547</v>
      </c>
      <c r="L189" s="52">
        <f t="shared" si="2"/>
        <v>123.5262464</v>
      </c>
      <c r="M189" s="52">
        <v>14.21</v>
      </c>
      <c r="N189" s="52">
        <v>75.24</v>
      </c>
      <c r="O189" s="52">
        <v>27.69</v>
      </c>
      <c r="P189" s="52">
        <v>5.13</v>
      </c>
      <c r="Q189" s="52">
        <v>0.13</v>
      </c>
      <c r="R189" s="52">
        <v>0.35</v>
      </c>
      <c r="S189" s="52">
        <f t="shared" si="3"/>
        <v>5.944043</v>
      </c>
      <c r="T189" s="52">
        <f t="shared" si="4"/>
        <v>31.472892</v>
      </c>
      <c r="U189" s="52">
        <f t="shared" si="5"/>
        <v>11.582727</v>
      </c>
      <c r="V189" s="52">
        <f t="shared" si="6"/>
        <v>2.145879</v>
      </c>
      <c r="W189" s="52">
        <f t="shared" si="7"/>
        <v>0.054379</v>
      </c>
      <c r="X189" s="52">
        <f t="shared" si="8"/>
        <v>0.146405</v>
      </c>
    </row>
    <row r="190" ht="15.0" customHeight="1">
      <c r="A190" s="51">
        <v>43.0</v>
      </c>
      <c r="B190" s="51" t="s">
        <v>61</v>
      </c>
      <c r="C190" s="51">
        <v>208.0</v>
      </c>
      <c r="D190" s="51" t="s">
        <v>22</v>
      </c>
      <c r="E190" s="51" t="s">
        <v>23</v>
      </c>
      <c r="F190" s="51" t="s">
        <v>299</v>
      </c>
      <c r="G190" s="51" t="s">
        <v>300</v>
      </c>
      <c r="H190" s="52">
        <v>14.963164840987176</v>
      </c>
      <c r="I190" s="52">
        <v>7.380000000000001</v>
      </c>
      <c r="J190" s="52">
        <v>88.48</v>
      </c>
      <c r="K190" s="52">
        <f t="shared" si="45"/>
        <v>7.436108896</v>
      </c>
      <c r="L190" s="52">
        <f t="shared" si="2"/>
        <v>22.30832669</v>
      </c>
      <c r="M190" s="52">
        <v>48.76</v>
      </c>
      <c r="N190" s="52">
        <v>80.73</v>
      </c>
      <c r="O190" s="52">
        <v>15.37</v>
      </c>
      <c r="P190" s="52">
        <v>1.75</v>
      </c>
      <c r="Q190" s="52">
        <v>0.33</v>
      </c>
      <c r="R190" s="52">
        <v>0.57</v>
      </c>
      <c r="S190" s="52">
        <f t="shared" si="3"/>
        <v>3.598488</v>
      </c>
      <c r="T190" s="52">
        <f t="shared" si="4"/>
        <v>5.957874</v>
      </c>
      <c r="U190" s="52">
        <f t="shared" si="5"/>
        <v>1.134306</v>
      </c>
      <c r="V190" s="52">
        <f t="shared" si="6"/>
        <v>0.12915</v>
      </c>
      <c r="W190" s="52">
        <f t="shared" si="7"/>
        <v>0.024354</v>
      </c>
      <c r="X190" s="52">
        <f t="shared" si="8"/>
        <v>0.042066</v>
      </c>
    </row>
    <row r="191" ht="15.0" customHeight="1">
      <c r="A191" s="51">
        <v>43.0</v>
      </c>
      <c r="B191" s="51" t="s">
        <v>61</v>
      </c>
      <c r="C191" s="51">
        <v>213.0</v>
      </c>
      <c r="D191" s="51" t="s">
        <v>24</v>
      </c>
      <c r="E191" s="51" t="s">
        <v>26</v>
      </c>
      <c r="F191" s="51" t="s">
        <v>299</v>
      </c>
      <c r="G191" s="51" t="s">
        <v>300</v>
      </c>
      <c r="H191" s="52">
        <v>1.234432463304294</v>
      </c>
      <c r="I191" s="52">
        <v>1.59</v>
      </c>
      <c r="J191" s="52">
        <v>99.89</v>
      </c>
      <c r="K191" s="52">
        <f t="shared" si="45"/>
        <v>1.419088904</v>
      </c>
      <c r="L191" s="52">
        <f t="shared" si="2"/>
        <v>4.257266713</v>
      </c>
      <c r="M191" s="52">
        <v>0.0</v>
      </c>
      <c r="N191" s="52">
        <v>0.0</v>
      </c>
      <c r="O191" s="52">
        <v>0.0</v>
      </c>
      <c r="P191" s="52">
        <v>0.0</v>
      </c>
      <c r="Q191" s="52">
        <v>37.35</v>
      </c>
      <c r="R191" s="52">
        <v>0.01</v>
      </c>
      <c r="S191" s="52">
        <f t="shared" si="3"/>
        <v>0</v>
      </c>
      <c r="T191" s="52">
        <f t="shared" si="4"/>
        <v>0</v>
      </c>
      <c r="U191" s="52">
        <f t="shared" si="5"/>
        <v>0</v>
      </c>
      <c r="V191" s="52">
        <f t="shared" si="6"/>
        <v>0</v>
      </c>
      <c r="W191" s="52">
        <f t="shared" si="7"/>
        <v>0.593865</v>
      </c>
      <c r="X191" s="52">
        <f t="shared" si="8"/>
        <v>0.000159</v>
      </c>
    </row>
    <row r="192" ht="15.0" customHeight="1">
      <c r="A192" s="51">
        <v>44.0</v>
      </c>
      <c r="B192" s="51" t="s">
        <v>61</v>
      </c>
      <c r="C192" s="51">
        <v>192.0</v>
      </c>
      <c r="D192" s="51" t="s">
        <v>16</v>
      </c>
      <c r="E192" s="51" t="s">
        <v>17</v>
      </c>
      <c r="F192" s="51" t="s">
        <v>299</v>
      </c>
      <c r="G192" s="51" t="s">
        <v>300</v>
      </c>
      <c r="H192" s="52">
        <v>5.869947603848525</v>
      </c>
      <c r="I192" s="52">
        <v>9.12</v>
      </c>
      <c r="J192" s="52">
        <v>88.05</v>
      </c>
      <c r="K192" s="52">
        <f t="shared" ref="K192:K195" si="46">IF(J192&gt;0,(I192/J192)/SUMPRODUCT($I$192:$I$195/$J$192:$J$195)*100,"")</f>
        <v>9.131621776</v>
      </c>
      <c r="L192" s="52">
        <f t="shared" si="2"/>
        <v>27.39486533</v>
      </c>
      <c r="M192" s="52">
        <v>17.12</v>
      </c>
      <c r="N192" s="52">
        <v>71.35</v>
      </c>
      <c r="O192" s="52">
        <v>43.96</v>
      </c>
      <c r="P192" s="52">
        <v>3.58</v>
      </c>
      <c r="Q192" s="52">
        <v>0.19</v>
      </c>
      <c r="R192" s="52">
        <v>0.95</v>
      </c>
      <c r="S192" s="52">
        <f t="shared" si="3"/>
        <v>1.561344</v>
      </c>
      <c r="T192" s="52">
        <f t="shared" si="4"/>
        <v>6.50712</v>
      </c>
      <c r="U192" s="52">
        <f t="shared" si="5"/>
        <v>4.009152</v>
      </c>
      <c r="V192" s="52">
        <f t="shared" si="6"/>
        <v>0.326496</v>
      </c>
      <c r="W192" s="52">
        <f t="shared" si="7"/>
        <v>0.017328</v>
      </c>
      <c r="X192" s="52">
        <f t="shared" si="8"/>
        <v>0.08664</v>
      </c>
    </row>
    <row r="193" ht="15.0" customHeight="1">
      <c r="A193" s="51">
        <v>44.0</v>
      </c>
      <c r="B193" s="51" t="s">
        <v>61</v>
      </c>
      <c r="C193" s="51">
        <v>188.0</v>
      </c>
      <c r="D193" s="51" t="s">
        <v>16</v>
      </c>
      <c r="E193" s="51" t="s">
        <v>19</v>
      </c>
      <c r="F193" s="51" t="s">
        <v>299</v>
      </c>
      <c r="G193" s="51" t="s">
        <v>300</v>
      </c>
      <c r="H193" s="52">
        <v>69.06348041571131</v>
      </c>
      <c r="I193" s="52">
        <v>66.26</v>
      </c>
      <c r="J193" s="52">
        <v>87.78</v>
      </c>
      <c r="K193" s="52">
        <f t="shared" si="46"/>
        <v>66.54850324</v>
      </c>
      <c r="L193" s="52">
        <f t="shared" si="2"/>
        <v>199.6455097</v>
      </c>
      <c r="M193" s="52">
        <v>9.1</v>
      </c>
      <c r="N193" s="52">
        <v>86.03</v>
      </c>
      <c r="O193" s="52">
        <v>14.39</v>
      </c>
      <c r="P193" s="52">
        <v>4.18</v>
      </c>
      <c r="Q193" s="52">
        <v>0.03</v>
      </c>
      <c r="R193" s="52">
        <v>0.25</v>
      </c>
      <c r="S193" s="52">
        <f t="shared" si="3"/>
        <v>6.02966</v>
      </c>
      <c r="T193" s="52">
        <f t="shared" si="4"/>
        <v>57.003478</v>
      </c>
      <c r="U193" s="52">
        <f t="shared" si="5"/>
        <v>9.534814</v>
      </c>
      <c r="V193" s="52">
        <f t="shared" si="6"/>
        <v>2.769668</v>
      </c>
      <c r="W193" s="52">
        <f t="shared" si="7"/>
        <v>0.019878</v>
      </c>
      <c r="X193" s="52">
        <f t="shared" si="8"/>
        <v>0.16565</v>
      </c>
    </row>
    <row r="194" ht="15.0" customHeight="1">
      <c r="A194" s="51">
        <v>44.0</v>
      </c>
      <c r="B194" s="51" t="s">
        <v>61</v>
      </c>
      <c r="C194" s="51">
        <v>208.0</v>
      </c>
      <c r="D194" s="51" t="s">
        <v>22</v>
      </c>
      <c r="E194" s="51" t="s">
        <v>23</v>
      </c>
      <c r="F194" s="51" t="s">
        <v>299</v>
      </c>
      <c r="G194" s="51" t="s">
        <v>300</v>
      </c>
      <c r="H194" s="52">
        <v>23.373988800779514</v>
      </c>
      <c r="I194" s="52">
        <v>22.76</v>
      </c>
      <c r="J194" s="52">
        <v>88.48</v>
      </c>
      <c r="K194" s="52">
        <f t="shared" si="46"/>
        <v>22.67825221</v>
      </c>
      <c r="L194" s="52">
        <f t="shared" si="2"/>
        <v>68.03475662</v>
      </c>
      <c r="M194" s="52">
        <v>48.76</v>
      </c>
      <c r="N194" s="52">
        <v>80.73</v>
      </c>
      <c r="O194" s="52">
        <v>15.37</v>
      </c>
      <c r="P194" s="52">
        <v>1.75</v>
      </c>
      <c r="Q194" s="52">
        <v>0.33</v>
      </c>
      <c r="R194" s="52">
        <v>0.57</v>
      </c>
      <c r="S194" s="52">
        <f t="shared" si="3"/>
        <v>11.097776</v>
      </c>
      <c r="T194" s="52">
        <f t="shared" si="4"/>
        <v>18.374148</v>
      </c>
      <c r="U194" s="52">
        <f t="shared" si="5"/>
        <v>3.498212</v>
      </c>
      <c r="V194" s="52">
        <f t="shared" si="6"/>
        <v>0.3983</v>
      </c>
      <c r="W194" s="52">
        <f t="shared" si="7"/>
        <v>0.075108</v>
      </c>
      <c r="X194" s="52">
        <f t="shared" si="8"/>
        <v>0.129732</v>
      </c>
    </row>
    <row r="195" ht="15.0" customHeight="1">
      <c r="A195" s="51">
        <v>44.0</v>
      </c>
      <c r="B195" s="51" t="s">
        <v>61</v>
      </c>
      <c r="C195" s="51">
        <v>213.0</v>
      </c>
      <c r="D195" s="51" t="s">
        <v>24</v>
      </c>
      <c r="E195" s="51" t="s">
        <v>26</v>
      </c>
      <c r="F195" s="51" t="s">
        <v>299</v>
      </c>
      <c r="G195" s="51" t="s">
        <v>300</v>
      </c>
      <c r="H195" s="52">
        <v>1.6925831796606612</v>
      </c>
      <c r="I195" s="52">
        <v>1.86</v>
      </c>
      <c r="J195" s="52">
        <v>99.89</v>
      </c>
      <c r="K195" s="52">
        <f t="shared" si="46"/>
        <v>1.641622773</v>
      </c>
      <c r="L195" s="52">
        <f t="shared" si="2"/>
        <v>4.924868319</v>
      </c>
      <c r="M195" s="52">
        <v>0.0</v>
      </c>
      <c r="N195" s="52">
        <v>0.0</v>
      </c>
      <c r="O195" s="52">
        <v>0.0</v>
      </c>
      <c r="P195" s="52">
        <v>0.0</v>
      </c>
      <c r="Q195" s="52">
        <v>37.35</v>
      </c>
      <c r="R195" s="52">
        <v>0.01</v>
      </c>
      <c r="S195" s="52">
        <f t="shared" si="3"/>
        <v>0</v>
      </c>
      <c r="T195" s="52">
        <f t="shared" si="4"/>
        <v>0</v>
      </c>
      <c r="U195" s="52">
        <f t="shared" si="5"/>
        <v>0</v>
      </c>
      <c r="V195" s="52">
        <f t="shared" si="6"/>
        <v>0</v>
      </c>
      <c r="W195" s="52">
        <f t="shared" si="7"/>
        <v>0.69471</v>
      </c>
      <c r="X195" s="52">
        <f t="shared" si="8"/>
        <v>0.000186</v>
      </c>
    </row>
    <row r="196" ht="15.0" customHeight="1">
      <c r="A196" s="51">
        <v>45.0</v>
      </c>
      <c r="B196" s="51" t="s">
        <v>61</v>
      </c>
      <c r="C196" s="51">
        <v>188.0</v>
      </c>
      <c r="D196" s="51" t="s">
        <v>16</v>
      </c>
      <c r="E196" s="51" t="s">
        <v>19</v>
      </c>
      <c r="F196" s="51" t="s">
        <v>299</v>
      </c>
      <c r="G196" s="51" t="s">
        <v>300</v>
      </c>
      <c r="H196" s="52">
        <v>40.79173980164375</v>
      </c>
      <c r="I196" s="52">
        <v>40.27</v>
      </c>
      <c r="J196" s="52">
        <v>87.78</v>
      </c>
      <c r="K196" s="52">
        <f t="shared" ref="K196:K199" si="47">IF(J196&gt;0,(I196/J196)/SUMPRODUCT($I$196:$I$199/$J$196:$J$199)*100,"")</f>
        <v>40.90042909</v>
      </c>
      <c r="L196" s="52">
        <f t="shared" si="2"/>
        <v>122.7012873</v>
      </c>
      <c r="M196" s="52">
        <v>9.1</v>
      </c>
      <c r="N196" s="52">
        <v>86.03</v>
      </c>
      <c r="O196" s="52">
        <v>14.39</v>
      </c>
      <c r="P196" s="52">
        <v>4.18</v>
      </c>
      <c r="Q196" s="52">
        <v>0.03</v>
      </c>
      <c r="R196" s="52">
        <v>0.25</v>
      </c>
      <c r="S196" s="52">
        <f t="shared" si="3"/>
        <v>3.66457</v>
      </c>
      <c r="T196" s="52">
        <f t="shared" si="4"/>
        <v>34.644281</v>
      </c>
      <c r="U196" s="52">
        <f t="shared" si="5"/>
        <v>5.794853</v>
      </c>
      <c r="V196" s="52">
        <f t="shared" si="6"/>
        <v>1.683286</v>
      </c>
      <c r="W196" s="52">
        <f t="shared" si="7"/>
        <v>0.012081</v>
      </c>
      <c r="X196" s="52">
        <f t="shared" si="8"/>
        <v>0.100675</v>
      </c>
    </row>
    <row r="197" ht="15.0" customHeight="1">
      <c r="A197" s="51">
        <v>45.0</v>
      </c>
      <c r="B197" s="51" t="s">
        <v>61</v>
      </c>
      <c r="C197" s="51">
        <v>173.0</v>
      </c>
      <c r="D197" s="51" t="s">
        <v>16</v>
      </c>
      <c r="E197" s="51" t="s">
        <v>52</v>
      </c>
      <c r="F197" s="51" t="s">
        <v>299</v>
      </c>
      <c r="G197" s="51" t="s">
        <v>300</v>
      </c>
      <c r="H197" s="52">
        <v>38.00612067010204</v>
      </c>
      <c r="I197" s="52">
        <v>38.47</v>
      </c>
      <c r="J197" s="52">
        <v>90.57</v>
      </c>
      <c r="K197" s="52">
        <f t="shared" si="47"/>
        <v>37.86863315</v>
      </c>
      <c r="L197" s="52">
        <f t="shared" si="2"/>
        <v>113.6058994</v>
      </c>
      <c r="M197" s="52">
        <v>14.21</v>
      </c>
      <c r="N197" s="52">
        <v>75.24</v>
      </c>
      <c r="O197" s="52">
        <v>27.69</v>
      </c>
      <c r="P197" s="52">
        <v>5.13</v>
      </c>
      <c r="Q197" s="52">
        <v>0.13</v>
      </c>
      <c r="R197" s="52">
        <v>0.35</v>
      </c>
      <c r="S197" s="52">
        <f t="shared" si="3"/>
        <v>5.466587</v>
      </c>
      <c r="T197" s="52">
        <f t="shared" si="4"/>
        <v>28.944828</v>
      </c>
      <c r="U197" s="52">
        <f t="shared" si="5"/>
        <v>10.652343</v>
      </c>
      <c r="V197" s="52">
        <f t="shared" si="6"/>
        <v>1.973511</v>
      </c>
      <c r="W197" s="52">
        <f t="shared" si="7"/>
        <v>0.050011</v>
      </c>
      <c r="X197" s="52">
        <f t="shared" si="8"/>
        <v>0.134645</v>
      </c>
    </row>
    <row r="198" ht="15.0" customHeight="1">
      <c r="A198" s="51">
        <v>45.0</v>
      </c>
      <c r="B198" s="51" t="s">
        <v>61</v>
      </c>
      <c r="C198" s="51">
        <v>208.0</v>
      </c>
      <c r="D198" s="51" t="s">
        <v>22</v>
      </c>
      <c r="E198" s="51" t="s">
        <v>23</v>
      </c>
      <c r="F198" s="51" t="s">
        <v>299</v>
      </c>
      <c r="G198" s="51" t="s">
        <v>300</v>
      </c>
      <c r="H198" s="52">
        <v>19.635255573621016</v>
      </c>
      <c r="I198" s="52">
        <v>19.6</v>
      </c>
      <c r="J198" s="52">
        <v>88.48</v>
      </c>
      <c r="K198" s="52">
        <f t="shared" si="47"/>
        <v>19.74934828</v>
      </c>
      <c r="L198" s="52">
        <f t="shared" si="2"/>
        <v>59.24804483</v>
      </c>
      <c r="M198" s="52">
        <v>48.76</v>
      </c>
      <c r="N198" s="52">
        <v>80.73</v>
      </c>
      <c r="O198" s="52">
        <v>15.37</v>
      </c>
      <c r="P198" s="52">
        <v>1.75</v>
      </c>
      <c r="Q198" s="52">
        <v>0.33</v>
      </c>
      <c r="R198" s="52">
        <v>0.57</v>
      </c>
      <c r="S198" s="52">
        <f t="shared" si="3"/>
        <v>9.55696</v>
      </c>
      <c r="T198" s="52">
        <f t="shared" si="4"/>
        <v>15.82308</v>
      </c>
      <c r="U198" s="52">
        <f t="shared" si="5"/>
        <v>3.01252</v>
      </c>
      <c r="V198" s="52">
        <f t="shared" si="6"/>
        <v>0.343</v>
      </c>
      <c r="W198" s="52">
        <f t="shared" si="7"/>
        <v>0.06468</v>
      </c>
      <c r="X198" s="52">
        <f t="shared" si="8"/>
        <v>0.11172</v>
      </c>
    </row>
    <row r="199" ht="15.0" customHeight="1">
      <c r="A199" s="51">
        <v>45.0</v>
      </c>
      <c r="B199" s="51" t="s">
        <v>61</v>
      </c>
      <c r="C199" s="51">
        <v>213.0</v>
      </c>
      <c r="D199" s="51" t="s">
        <v>24</v>
      </c>
      <c r="E199" s="51" t="s">
        <v>26</v>
      </c>
      <c r="F199" s="51" t="s">
        <v>299</v>
      </c>
      <c r="G199" s="51" t="s">
        <v>300</v>
      </c>
      <c r="H199" s="52">
        <v>1.5668839546331965</v>
      </c>
      <c r="I199" s="52">
        <v>1.66</v>
      </c>
      <c r="J199" s="52">
        <v>99.89</v>
      </c>
      <c r="K199" s="52">
        <f t="shared" si="47"/>
        <v>1.481589482</v>
      </c>
      <c r="L199" s="52">
        <f t="shared" si="2"/>
        <v>4.444768445</v>
      </c>
      <c r="M199" s="52">
        <v>0.0</v>
      </c>
      <c r="N199" s="52">
        <v>0.0</v>
      </c>
      <c r="O199" s="52">
        <v>0.0</v>
      </c>
      <c r="P199" s="52">
        <v>0.0</v>
      </c>
      <c r="Q199" s="52">
        <v>37.35</v>
      </c>
      <c r="R199" s="52">
        <v>0.01</v>
      </c>
      <c r="S199" s="52">
        <f t="shared" si="3"/>
        <v>0</v>
      </c>
      <c r="T199" s="52">
        <f t="shared" si="4"/>
        <v>0</v>
      </c>
      <c r="U199" s="52">
        <f t="shared" si="5"/>
        <v>0</v>
      </c>
      <c r="V199" s="52">
        <f t="shared" si="6"/>
        <v>0</v>
      </c>
      <c r="W199" s="52">
        <f t="shared" si="7"/>
        <v>0.62001</v>
      </c>
      <c r="X199" s="52">
        <f t="shared" si="8"/>
        <v>0.000166</v>
      </c>
    </row>
    <row r="200" ht="15.0" customHeight="1">
      <c r="A200" s="51">
        <v>46.0</v>
      </c>
      <c r="B200" s="51" t="s">
        <v>61</v>
      </c>
      <c r="C200" s="51">
        <v>192.0</v>
      </c>
      <c r="D200" s="51" t="s">
        <v>16</v>
      </c>
      <c r="E200" s="51" t="s">
        <v>17</v>
      </c>
      <c r="F200" s="51" t="s">
        <v>299</v>
      </c>
      <c r="G200" s="51" t="s">
        <v>300</v>
      </c>
      <c r="H200" s="52">
        <v>16.100020091793713</v>
      </c>
      <c r="I200" s="52">
        <v>20.13</v>
      </c>
      <c r="J200" s="52">
        <v>88.05</v>
      </c>
      <c r="K200" s="52">
        <f t="shared" ref="K200:K203" si="48">IF(J200&gt;0,(I200/J200)/SUMPRODUCT($I$200:$I$203/$J$200:$J$203)*100,"")</f>
        <v>20.19301001</v>
      </c>
      <c r="L200" s="52">
        <f t="shared" si="2"/>
        <v>60.57903004</v>
      </c>
      <c r="M200" s="52">
        <v>17.12</v>
      </c>
      <c r="N200" s="52">
        <v>71.35</v>
      </c>
      <c r="O200" s="52">
        <v>43.96</v>
      </c>
      <c r="P200" s="52">
        <v>3.58</v>
      </c>
      <c r="Q200" s="52">
        <v>0.19</v>
      </c>
      <c r="R200" s="52">
        <v>0.95</v>
      </c>
      <c r="S200" s="52">
        <f t="shared" si="3"/>
        <v>3.446256</v>
      </c>
      <c r="T200" s="52">
        <f t="shared" si="4"/>
        <v>14.362755</v>
      </c>
      <c r="U200" s="52">
        <f t="shared" si="5"/>
        <v>8.849148</v>
      </c>
      <c r="V200" s="52">
        <f t="shared" si="6"/>
        <v>0.720654</v>
      </c>
      <c r="W200" s="52">
        <f t="shared" si="7"/>
        <v>0.038247</v>
      </c>
      <c r="X200" s="52">
        <f t="shared" si="8"/>
        <v>0.191235</v>
      </c>
    </row>
    <row r="201" ht="15.0" customHeight="1">
      <c r="A201" s="51">
        <v>46.0</v>
      </c>
      <c r="B201" s="51" t="s">
        <v>61</v>
      </c>
      <c r="C201" s="51">
        <v>188.0</v>
      </c>
      <c r="D201" s="51" t="s">
        <v>16</v>
      </c>
      <c r="E201" s="51" t="s">
        <v>19</v>
      </c>
      <c r="F201" s="51" t="s">
        <v>299</v>
      </c>
      <c r="G201" s="51" t="s">
        <v>300</v>
      </c>
      <c r="H201" s="52">
        <v>45.99972005235641</v>
      </c>
      <c r="I201" s="52">
        <v>42.68</v>
      </c>
      <c r="J201" s="52">
        <v>87.78</v>
      </c>
      <c r="K201" s="52">
        <f t="shared" si="48"/>
        <v>42.94528412</v>
      </c>
      <c r="L201" s="52">
        <f t="shared" si="2"/>
        <v>128.8358524</v>
      </c>
      <c r="M201" s="52">
        <v>9.1</v>
      </c>
      <c r="N201" s="52">
        <v>86.03</v>
      </c>
      <c r="O201" s="52">
        <v>14.39</v>
      </c>
      <c r="P201" s="52">
        <v>4.18</v>
      </c>
      <c r="Q201" s="52">
        <v>0.03</v>
      </c>
      <c r="R201" s="52">
        <v>0.25</v>
      </c>
      <c r="S201" s="52">
        <f t="shared" si="3"/>
        <v>3.88388</v>
      </c>
      <c r="T201" s="52">
        <f t="shared" si="4"/>
        <v>36.717604</v>
      </c>
      <c r="U201" s="52">
        <f t="shared" si="5"/>
        <v>6.141652</v>
      </c>
      <c r="V201" s="52">
        <f t="shared" si="6"/>
        <v>1.784024</v>
      </c>
      <c r="W201" s="52">
        <f t="shared" si="7"/>
        <v>0.012804</v>
      </c>
      <c r="X201" s="52">
        <f t="shared" si="8"/>
        <v>0.1067</v>
      </c>
    </row>
    <row r="202" ht="15.0" customHeight="1">
      <c r="A202" s="51">
        <v>46.0</v>
      </c>
      <c r="B202" s="51" t="s">
        <v>61</v>
      </c>
      <c r="C202" s="51">
        <v>208.0</v>
      </c>
      <c r="D202" s="51" t="s">
        <v>22</v>
      </c>
      <c r="E202" s="51" t="s">
        <v>23</v>
      </c>
      <c r="F202" s="51" t="s">
        <v>299</v>
      </c>
      <c r="G202" s="51" t="s">
        <v>300</v>
      </c>
      <c r="H202" s="52">
        <v>35.684592491136954</v>
      </c>
      <c r="I202" s="52">
        <v>34.88</v>
      </c>
      <c r="J202" s="52">
        <v>88.48</v>
      </c>
      <c r="K202" s="52">
        <f t="shared" si="48"/>
        <v>34.81913745</v>
      </c>
      <c r="L202" s="52">
        <f t="shared" si="2"/>
        <v>104.4574123</v>
      </c>
      <c r="M202" s="52">
        <v>48.76</v>
      </c>
      <c r="N202" s="52">
        <v>80.73</v>
      </c>
      <c r="O202" s="52">
        <v>15.37</v>
      </c>
      <c r="P202" s="52">
        <v>1.75</v>
      </c>
      <c r="Q202" s="52">
        <v>0.33</v>
      </c>
      <c r="R202" s="52">
        <v>0.57</v>
      </c>
      <c r="S202" s="52">
        <f t="shared" si="3"/>
        <v>17.007488</v>
      </c>
      <c r="T202" s="52">
        <f t="shared" si="4"/>
        <v>28.158624</v>
      </c>
      <c r="U202" s="52">
        <f t="shared" si="5"/>
        <v>5.361056</v>
      </c>
      <c r="V202" s="52">
        <f t="shared" si="6"/>
        <v>0.6104</v>
      </c>
      <c r="W202" s="52">
        <f t="shared" si="7"/>
        <v>0.115104</v>
      </c>
      <c r="X202" s="52">
        <f t="shared" si="8"/>
        <v>0.198816</v>
      </c>
    </row>
    <row r="203" ht="15.0" customHeight="1">
      <c r="A203" s="51">
        <v>46.0</v>
      </c>
      <c r="B203" s="51" t="s">
        <v>61</v>
      </c>
      <c r="C203" s="51">
        <v>213.0</v>
      </c>
      <c r="D203" s="51" t="s">
        <v>24</v>
      </c>
      <c r="E203" s="51" t="s">
        <v>26</v>
      </c>
      <c r="F203" s="51" t="s">
        <v>299</v>
      </c>
      <c r="G203" s="51" t="s">
        <v>300</v>
      </c>
      <c r="H203" s="52">
        <v>2.215667364712927</v>
      </c>
      <c r="I203" s="52">
        <v>2.31</v>
      </c>
      <c r="J203" s="52">
        <v>99.89</v>
      </c>
      <c r="K203" s="52">
        <f t="shared" si="48"/>
        <v>2.042568419</v>
      </c>
      <c r="L203" s="52">
        <f t="shared" si="2"/>
        <v>6.127705257</v>
      </c>
      <c r="M203" s="52">
        <v>0.0</v>
      </c>
      <c r="N203" s="52">
        <v>0.0</v>
      </c>
      <c r="O203" s="52">
        <v>0.0</v>
      </c>
      <c r="P203" s="52">
        <v>0.0</v>
      </c>
      <c r="Q203" s="52">
        <v>37.35</v>
      </c>
      <c r="R203" s="52">
        <v>0.01</v>
      </c>
      <c r="S203" s="52">
        <f t="shared" si="3"/>
        <v>0</v>
      </c>
      <c r="T203" s="52">
        <f t="shared" si="4"/>
        <v>0</v>
      </c>
      <c r="U203" s="52">
        <f t="shared" si="5"/>
        <v>0</v>
      </c>
      <c r="V203" s="52">
        <f t="shared" si="6"/>
        <v>0</v>
      </c>
      <c r="W203" s="52">
        <f t="shared" si="7"/>
        <v>0.862785</v>
      </c>
      <c r="X203" s="52">
        <f t="shared" si="8"/>
        <v>0.000231</v>
      </c>
    </row>
    <row r="204" ht="15.0" customHeight="1">
      <c r="A204" s="51">
        <v>47.0</v>
      </c>
      <c r="B204" s="51" t="s">
        <v>61</v>
      </c>
      <c r="C204" s="51">
        <v>188.0</v>
      </c>
      <c r="D204" s="51" t="s">
        <v>16</v>
      </c>
      <c r="E204" s="51" t="s">
        <v>19</v>
      </c>
      <c r="F204" s="51" t="s">
        <v>299</v>
      </c>
      <c r="G204" s="51" t="s">
        <v>300</v>
      </c>
      <c r="H204" s="52">
        <v>44.30663890608923</v>
      </c>
      <c r="I204" s="52">
        <v>44.6055372534931</v>
      </c>
      <c r="J204" s="52">
        <v>87.78</v>
      </c>
      <c r="K204" s="52">
        <f t="shared" ref="K204:K207" si="49">IF(J204&gt;0,(I204/J204)/SUMPRODUCT($I$204:$I$207/$J$204:$J$207)*100,"")</f>
        <v>45.08491277</v>
      </c>
      <c r="L204" s="52">
        <f t="shared" si="2"/>
        <v>135.2547383</v>
      </c>
      <c r="M204" s="52">
        <v>9.1</v>
      </c>
      <c r="N204" s="52">
        <v>86.03</v>
      </c>
      <c r="O204" s="52">
        <v>14.39</v>
      </c>
      <c r="P204" s="52">
        <v>4.18</v>
      </c>
      <c r="Q204" s="52">
        <v>0.03</v>
      </c>
      <c r="R204" s="52">
        <v>0.25</v>
      </c>
      <c r="S204" s="52">
        <f t="shared" si="3"/>
        <v>4.05910389</v>
      </c>
      <c r="T204" s="52">
        <f t="shared" si="4"/>
        <v>38.3741437</v>
      </c>
      <c r="U204" s="52">
        <f t="shared" si="5"/>
        <v>6.418736811</v>
      </c>
      <c r="V204" s="52">
        <f t="shared" si="6"/>
        <v>1.864511457</v>
      </c>
      <c r="W204" s="52">
        <f t="shared" si="7"/>
        <v>0.01338166118</v>
      </c>
      <c r="X204" s="52">
        <f t="shared" si="8"/>
        <v>0.1115138431</v>
      </c>
    </row>
    <row r="205" ht="15.0" customHeight="1">
      <c r="A205" s="51">
        <v>47.0</v>
      </c>
      <c r="B205" s="51" t="s">
        <v>61</v>
      </c>
      <c r="C205" s="51">
        <v>173.0</v>
      </c>
      <c r="D205" s="51" t="s">
        <v>16</v>
      </c>
      <c r="E205" s="51" t="s">
        <v>52</v>
      </c>
      <c r="F205" s="51" t="s">
        <v>299</v>
      </c>
      <c r="G205" s="51" t="s">
        <v>300</v>
      </c>
      <c r="H205" s="52">
        <v>18.948749730155114</v>
      </c>
      <c r="I205" s="52">
        <v>18.53557170380753</v>
      </c>
      <c r="J205" s="52">
        <v>90.57</v>
      </c>
      <c r="K205" s="52">
        <f t="shared" si="49"/>
        <v>18.15765055</v>
      </c>
      <c r="L205" s="52">
        <f t="shared" si="2"/>
        <v>54.47295165</v>
      </c>
      <c r="M205" s="52">
        <v>14.21</v>
      </c>
      <c r="N205" s="52">
        <v>75.24</v>
      </c>
      <c r="O205" s="52">
        <v>27.69</v>
      </c>
      <c r="P205" s="52">
        <v>5.13</v>
      </c>
      <c r="Q205" s="52">
        <v>0.13</v>
      </c>
      <c r="R205" s="52">
        <v>0.35</v>
      </c>
      <c r="S205" s="52">
        <f t="shared" si="3"/>
        <v>2.633904739</v>
      </c>
      <c r="T205" s="52">
        <f t="shared" si="4"/>
        <v>13.94616415</v>
      </c>
      <c r="U205" s="52">
        <f t="shared" si="5"/>
        <v>5.132499805</v>
      </c>
      <c r="V205" s="52">
        <f t="shared" si="6"/>
        <v>0.9508748284</v>
      </c>
      <c r="W205" s="52">
        <f t="shared" si="7"/>
        <v>0.02409624321</v>
      </c>
      <c r="X205" s="52">
        <f t="shared" si="8"/>
        <v>0.06487450096</v>
      </c>
    </row>
    <row r="206" ht="15.0" customHeight="1">
      <c r="A206" s="51">
        <v>47.0</v>
      </c>
      <c r="B206" s="51" t="s">
        <v>61</v>
      </c>
      <c r="C206" s="51">
        <v>208.0</v>
      </c>
      <c r="D206" s="51" t="s">
        <v>22</v>
      </c>
      <c r="E206" s="51" t="s">
        <v>23</v>
      </c>
      <c r="F206" s="51" t="s">
        <v>299</v>
      </c>
      <c r="G206" s="51" t="s">
        <v>300</v>
      </c>
      <c r="H206" s="52">
        <v>35.02337049999629</v>
      </c>
      <c r="I206" s="52">
        <v>35.08799898221581</v>
      </c>
      <c r="J206" s="52">
        <v>88.48</v>
      </c>
      <c r="K206" s="52">
        <f t="shared" si="49"/>
        <v>35.18451132</v>
      </c>
      <c r="L206" s="52">
        <f t="shared" si="2"/>
        <v>105.553534</v>
      </c>
      <c r="M206" s="52">
        <v>48.76</v>
      </c>
      <c r="N206" s="52">
        <v>80.73</v>
      </c>
      <c r="O206" s="52">
        <v>15.37</v>
      </c>
      <c r="P206" s="52">
        <v>1.75</v>
      </c>
      <c r="Q206" s="52">
        <v>0.33</v>
      </c>
      <c r="R206" s="52">
        <v>0.57</v>
      </c>
      <c r="S206" s="52">
        <f t="shared" si="3"/>
        <v>17.1089083</v>
      </c>
      <c r="T206" s="52">
        <f t="shared" si="4"/>
        <v>28.32654158</v>
      </c>
      <c r="U206" s="52">
        <f t="shared" si="5"/>
        <v>5.393025444</v>
      </c>
      <c r="V206" s="52">
        <f t="shared" si="6"/>
        <v>0.6140399822</v>
      </c>
      <c r="W206" s="52">
        <f t="shared" si="7"/>
        <v>0.1157903966</v>
      </c>
      <c r="X206" s="52">
        <f t="shared" si="8"/>
        <v>0.2000015942</v>
      </c>
    </row>
    <row r="207" ht="15.0" customHeight="1">
      <c r="A207" s="51">
        <v>47.0</v>
      </c>
      <c r="B207" s="51" t="s">
        <v>61</v>
      </c>
      <c r="C207" s="51">
        <v>213.0</v>
      </c>
      <c r="D207" s="51" t="s">
        <v>24</v>
      </c>
      <c r="E207" s="51" t="s">
        <v>26</v>
      </c>
      <c r="F207" s="51" t="s">
        <v>299</v>
      </c>
      <c r="G207" s="51" t="s">
        <v>300</v>
      </c>
      <c r="H207" s="52">
        <v>1.721240863759367</v>
      </c>
      <c r="I207" s="52">
        <v>1.7708920604835632</v>
      </c>
      <c r="J207" s="52">
        <v>99.89</v>
      </c>
      <c r="K207" s="52">
        <f t="shared" si="49"/>
        <v>1.572925356</v>
      </c>
      <c r="L207" s="52">
        <f t="shared" si="2"/>
        <v>4.718776068</v>
      </c>
      <c r="M207" s="52">
        <v>0.0</v>
      </c>
      <c r="N207" s="52">
        <v>0.0</v>
      </c>
      <c r="O207" s="52">
        <v>0.0</v>
      </c>
      <c r="P207" s="52">
        <v>0.0</v>
      </c>
      <c r="Q207" s="52">
        <v>37.35</v>
      </c>
      <c r="R207" s="52">
        <v>0.01</v>
      </c>
      <c r="S207" s="52">
        <f t="shared" si="3"/>
        <v>0</v>
      </c>
      <c r="T207" s="52">
        <f t="shared" si="4"/>
        <v>0</v>
      </c>
      <c r="U207" s="52">
        <f t="shared" si="5"/>
        <v>0</v>
      </c>
      <c r="V207" s="52">
        <f t="shared" si="6"/>
        <v>0</v>
      </c>
      <c r="W207" s="52">
        <f t="shared" si="7"/>
        <v>0.6614281846</v>
      </c>
      <c r="X207" s="52">
        <f t="shared" si="8"/>
        <v>0.000177089206</v>
      </c>
    </row>
    <row r="208" ht="15.0" customHeight="1">
      <c r="A208" s="51">
        <v>48.0</v>
      </c>
      <c r="B208" s="51" t="s">
        <v>61</v>
      </c>
      <c r="C208" s="51">
        <v>192.0</v>
      </c>
      <c r="D208" s="51" t="s">
        <v>16</v>
      </c>
      <c r="E208" s="51" t="s">
        <v>17</v>
      </c>
      <c r="F208" s="51" t="s">
        <v>299</v>
      </c>
      <c r="G208" s="51" t="s">
        <v>300</v>
      </c>
      <c r="H208" s="52">
        <v>9.842745186685708</v>
      </c>
      <c r="I208" s="52">
        <v>9.842839781426377</v>
      </c>
      <c r="J208" s="52">
        <v>88.05</v>
      </c>
      <c r="K208" s="52">
        <f t="shared" ref="K208:K211" si="50">IF(J208&gt;0,(I208/J208)/SUMPRODUCT($I$208:$I$211/$J$208:$J$211)*100,"")</f>
        <v>9.840439576</v>
      </c>
      <c r="L208" s="52">
        <f t="shared" si="2"/>
        <v>29.52131873</v>
      </c>
      <c r="M208" s="52">
        <v>17.12</v>
      </c>
      <c r="N208" s="52">
        <v>71.35</v>
      </c>
      <c r="O208" s="52">
        <v>43.96</v>
      </c>
      <c r="P208" s="52">
        <v>3.58</v>
      </c>
      <c r="Q208" s="52">
        <v>0.19</v>
      </c>
      <c r="R208" s="52">
        <v>0.95</v>
      </c>
      <c r="S208" s="52">
        <f t="shared" si="3"/>
        <v>1.685094171</v>
      </c>
      <c r="T208" s="52">
        <f t="shared" si="4"/>
        <v>7.022866184</v>
      </c>
      <c r="U208" s="52">
        <f t="shared" si="5"/>
        <v>4.326912368</v>
      </c>
      <c r="V208" s="52">
        <f t="shared" si="6"/>
        <v>0.3523736642</v>
      </c>
      <c r="W208" s="52">
        <f t="shared" si="7"/>
        <v>0.01870139558</v>
      </c>
      <c r="X208" s="52">
        <f t="shared" si="8"/>
        <v>0.09350697792</v>
      </c>
    </row>
    <row r="209" ht="15.0" customHeight="1">
      <c r="A209" s="51">
        <v>48.0</v>
      </c>
      <c r="B209" s="51" t="s">
        <v>61</v>
      </c>
      <c r="C209" s="51">
        <v>188.0</v>
      </c>
      <c r="D209" s="51" t="s">
        <v>16</v>
      </c>
      <c r="E209" s="51" t="s">
        <v>19</v>
      </c>
      <c r="F209" s="51" t="s">
        <v>299</v>
      </c>
      <c r="G209" s="51" t="s">
        <v>300</v>
      </c>
      <c r="H209" s="52">
        <v>82.24212811773772</v>
      </c>
      <c r="I209" s="52">
        <v>82.24205378294879</v>
      </c>
      <c r="J209" s="52">
        <v>87.78</v>
      </c>
      <c r="K209" s="52">
        <f t="shared" si="50"/>
        <v>82.47490312</v>
      </c>
      <c r="L209" s="52">
        <f t="shared" si="2"/>
        <v>247.4247094</v>
      </c>
      <c r="M209" s="52">
        <v>9.1</v>
      </c>
      <c r="N209" s="52">
        <v>86.03</v>
      </c>
      <c r="O209" s="52">
        <v>14.39</v>
      </c>
      <c r="P209" s="52">
        <v>4.18</v>
      </c>
      <c r="Q209" s="52">
        <v>0.03</v>
      </c>
      <c r="R209" s="52">
        <v>0.25</v>
      </c>
      <c r="S209" s="52">
        <f t="shared" si="3"/>
        <v>7.484026894</v>
      </c>
      <c r="T209" s="52">
        <f t="shared" si="4"/>
        <v>70.75283887</v>
      </c>
      <c r="U209" s="52">
        <f t="shared" si="5"/>
        <v>11.83463154</v>
      </c>
      <c r="V209" s="52">
        <f t="shared" si="6"/>
        <v>3.437717848</v>
      </c>
      <c r="W209" s="52">
        <f t="shared" si="7"/>
        <v>0.02467261613</v>
      </c>
      <c r="X209" s="52">
        <f t="shared" si="8"/>
        <v>0.2056051345</v>
      </c>
    </row>
    <row r="210" ht="15.0" customHeight="1">
      <c r="A210" s="51">
        <v>48.0</v>
      </c>
      <c r="B210" s="51" t="s">
        <v>61</v>
      </c>
      <c r="C210" s="51">
        <v>208.0</v>
      </c>
      <c r="D210" s="51" t="s">
        <v>22</v>
      </c>
      <c r="E210" s="51" t="s">
        <v>23</v>
      </c>
      <c r="F210" s="51" t="s">
        <v>299</v>
      </c>
      <c r="G210" s="51" t="s">
        <v>300</v>
      </c>
      <c r="H210" s="52">
        <v>6.242674017826154</v>
      </c>
      <c r="I210" s="52">
        <v>6.242654677888067</v>
      </c>
      <c r="J210" s="52">
        <v>88.48</v>
      </c>
      <c r="K210" s="52">
        <f t="shared" si="50"/>
        <v>6.210801388</v>
      </c>
      <c r="L210" s="52">
        <f t="shared" si="2"/>
        <v>18.63240416</v>
      </c>
      <c r="M210" s="52">
        <v>48.76</v>
      </c>
      <c r="N210" s="52">
        <v>80.73</v>
      </c>
      <c r="O210" s="52">
        <v>15.37</v>
      </c>
      <c r="P210" s="52">
        <v>1.75</v>
      </c>
      <c r="Q210" s="52">
        <v>0.33</v>
      </c>
      <c r="R210" s="52">
        <v>0.57</v>
      </c>
      <c r="S210" s="52">
        <f t="shared" si="3"/>
        <v>3.043918421</v>
      </c>
      <c r="T210" s="52">
        <f t="shared" si="4"/>
        <v>5.039695121</v>
      </c>
      <c r="U210" s="52">
        <f t="shared" si="5"/>
        <v>0.959496024</v>
      </c>
      <c r="V210" s="52">
        <f t="shared" si="6"/>
        <v>0.1092464569</v>
      </c>
      <c r="W210" s="52">
        <f t="shared" si="7"/>
        <v>0.02060076044</v>
      </c>
      <c r="X210" s="52">
        <f t="shared" si="8"/>
        <v>0.03558313166</v>
      </c>
    </row>
    <row r="211" ht="15.0" customHeight="1">
      <c r="A211" s="51">
        <v>48.0</v>
      </c>
      <c r="B211" s="51" t="s">
        <v>61</v>
      </c>
      <c r="C211" s="51">
        <v>213.0</v>
      </c>
      <c r="D211" s="51" t="s">
        <v>24</v>
      </c>
      <c r="E211" s="51" t="s">
        <v>26</v>
      </c>
      <c r="F211" s="51" t="s">
        <v>299</v>
      </c>
      <c r="G211" s="51" t="s">
        <v>300</v>
      </c>
      <c r="H211" s="52">
        <v>1.6724526777504194</v>
      </c>
      <c r="I211" s="52">
        <v>1.67245175773675</v>
      </c>
      <c r="J211" s="52">
        <v>99.89</v>
      </c>
      <c r="K211" s="52">
        <f t="shared" si="50"/>
        <v>1.473855918</v>
      </c>
      <c r="L211" s="52">
        <f t="shared" si="2"/>
        <v>4.421567754</v>
      </c>
      <c r="M211" s="52">
        <v>0.0</v>
      </c>
      <c r="N211" s="52">
        <v>0.0</v>
      </c>
      <c r="O211" s="52">
        <v>0.0</v>
      </c>
      <c r="P211" s="52">
        <v>0.0</v>
      </c>
      <c r="Q211" s="52">
        <v>37.35</v>
      </c>
      <c r="R211" s="52">
        <v>0.01</v>
      </c>
      <c r="S211" s="52">
        <f t="shared" si="3"/>
        <v>0</v>
      </c>
      <c r="T211" s="52">
        <f t="shared" si="4"/>
        <v>0</v>
      </c>
      <c r="U211" s="52">
        <f t="shared" si="5"/>
        <v>0</v>
      </c>
      <c r="V211" s="52">
        <f t="shared" si="6"/>
        <v>0</v>
      </c>
      <c r="W211" s="52">
        <f t="shared" si="7"/>
        <v>0.6246607315</v>
      </c>
      <c r="X211" s="52">
        <f t="shared" si="8"/>
        <v>0.0001672451758</v>
      </c>
    </row>
    <row r="212" ht="15.0" customHeight="1">
      <c r="A212" s="51">
        <v>49.0</v>
      </c>
      <c r="B212" s="51" t="s">
        <v>61</v>
      </c>
      <c r="C212" s="51">
        <v>188.0</v>
      </c>
      <c r="D212" s="51" t="s">
        <v>16</v>
      </c>
      <c r="E212" s="51" t="s">
        <v>19</v>
      </c>
      <c r="F212" s="51" t="s">
        <v>299</v>
      </c>
      <c r="G212" s="51" t="s">
        <v>300</v>
      </c>
      <c r="H212" s="52">
        <v>69.47637892382797</v>
      </c>
      <c r="I212" s="52">
        <v>47.95</v>
      </c>
      <c r="J212" s="52">
        <v>87.78</v>
      </c>
      <c r="K212" s="52">
        <f t="shared" ref="K212:K215" si="51">IF(J212&gt;0,(I212/J212)/SUMPRODUCT($I$212:$I$215/$J$212:$J$215)*100,"")</f>
        <v>48.76651205</v>
      </c>
      <c r="L212" s="52">
        <f t="shared" si="2"/>
        <v>146.2995362</v>
      </c>
      <c r="M212" s="52">
        <v>9.1</v>
      </c>
      <c r="N212" s="52">
        <v>86.03</v>
      </c>
      <c r="O212" s="52">
        <v>14.39</v>
      </c>
      <c r="P212" s="52">
        <v>4.18</v>
      </c>
      <c r="Q212" s="52">
        <v>0.03</v>
      </c>
      <c r="R212" s="52">
        <v>0.25</v>
      </c>
      <c r="S212" s="52">
        <f t="shared" si="3"/>
        <v>4.36345</v>
      </c>
      <c r="T212" s="52">
        <f t="shared" si="4"/>
        <v>41.251385</v>
      </c>
      <c r="U212" s="52">
        <f t="shared" si="5"/>
        <v>6.900005</v>
      </c>
      <c r="V212" s="52">
        <f t="shared" si="6"/>
        <v>2.00431</v>
      </c>
      <c r="W212" s="52">
        <f t="shared" si="7"/>
        <v>0.014385</v>
      </c>
      <c r="X212" s="52">
        <f t="shared" si="8"/>
        <v>0.119875</v>
      </c>
    </row>
    <row r="213" ht="15.0" customHeight="1">
      <c r="A213" s="51">
        <v>49.0</v>
      </c>
      <c r="B213" s="51" t="s">
        <v>61</v>
      </c>
      <c r="C213" s="51">
        <v>173.0</v>
      </c>
      <c r="D213" s="51" t="s">
        <v>16</v>
      </c>
      <c r="E213" s="51" t="s">
        <v>52</v>
      </c>
      <c r="F213" s="51" t="s">
        <v>299</v>
      </c>
      <c r="G213" s="51" t="s">
        <v>300</v>
      </c>
      <c r="H213" s="52">
        <v>23.39470371254921</v>
      </c>
      <c r="I213" s="52">
        <v>48.07</v>
      </c>
      <c r="J213" s="52">
        <v>90.57</v>
      </c>
      <c r="K213" s="52">
        <f t="shared" si="51"/>
        <v>47.38254829</v>
      </c>
      <c r="L213" s="52">
        <f t="shared" si="2"/>
        <v>142.1476449</v>
      </c>
      <c r="M213" s="52">
        <v>14.21</v>
      </c>
      <c r="N213" s="52">
        <v>75.24</v>
      </c>
      <c r="O213" s="52">
        <v>27.69</v>
      </c>
      <c r="P213" s="52">
        <v>5.13</v>
      </c>
      <c r="Q213" s="52">
        <v>0.13</v>
      </c>
      <c r="R213" s="52">
        <v>0.35</v>
      </c>
      <c r="S213" s="52">
        <f t="shared" si="3"/>
        <v>6.830747</v>
      </c>
      <c r="T213" s="52">
        <f t="shared" si="4"/>
        <v>36.167868</v>
      </c>
      <c r="U213" s="52">
        <f t="shared" si="5"/>
        <v>13.310583</v>
      </c>
      <c r="V213" s="52">
        <f t="shared" si="6"/>
        <v>2.465991</v>
      </c>
      <c r="W213" s="52">
        <f t="shared" si="7"/>
        <v>0.062491</v>
      </c>
      <c r="X213" s="52">
        <f t="shared" si="8"/>
        <v>0.168245</v>
      </c>
    </row>
    <row r="214" ht="15.0" customHeight="1">
      <c r="A214" s="51">
        <v>49.0</v>
      </c>
      <c r="B214" s="51" t="s">
        <v>61</v>
      </c>
      <c r="C214" s="51">
        <v>208.0</v>
      </c>
      <c r="D214" s="51" t="s">
        <v>22</v>
      </c>
      <c r="E214" s="51" t="s">
        <v>23</v>
      </c>
      <c r="F214" s="51" t="s">
        <v>299</v>
      </c>
      <c r="G214" s="51" t="s">
        <v>300</v>
      </c>
      <c r="H214" s="52">
        <v>5.729917748887444</v>
      </c>
      <c r="I214" s="52">
        <v>2.55</v>
      </c>
      <c r="J214" s="52">
        <v>88.48</v>
      </c>
      <c r="K214" s="52">
        <f t="shared" si="51"/>
        <v>2.572904852</v>
      </c>
      <c r="L214" s="52">
        <f t="shared" si="2"/>
        <v>7.718714555</v>
      </c>
      <c r="M214" s="52">
        <v>48.76</v>
      </c>
      <c r="N214" s="52">
        <v>80.73</v>
      </c>
      <c r="O214" s="52">
        <v>15.37</v>
      </c>
      <c r="P214" s="52">
        <v>1.75</v>
      </c>
      <c r="Q214" s="52">
        <v>0.33</v>
      </c>
      <c r="R214" s="52">
        <v>0.57</v>
      </c>
      <c r="S214" s="52">
        <f t="shared" si="3"/>
        <v>1.24338</v>
      </c>
      <c r="T214" s="52">
        <f t="shared" si="4"/>
        <v>2.058615</v>
      </c>
      <c r="U214" s="52">
        <f t="shared" si="5"/>
        <v>0.391935</v>
      </c>
      <c r="V214" s="52">
        <f t="shared" si="6"/>
        <v>0.044625</v>
      </c>
      <c r="W214" s="52">
        <f t="shared" si="7"/>
        <v>0.008415</v>
      </c>
      <c r="X214" s="52">
        <f t="shared" si="8"/>
        <v>0.014535</v>
      </c>
    </row>
    <row r="215" ht="15.0" customHeight="1">
      <c r="A215" s="51">
        <v>49.0</v>
      </c>
      <c r="B215" s="51" t="s">
        <v>61</v>
      </c>
      <c r="C215" s="51">
        <v>213.0</v>
      </c>
      <c r="D215" s="51" t="s">
        <v>24</v>
      </c>
      <c r="E215" s="51" t="s">
        <v>26</v>
      </c>
      <c r="F215" s="51" t="s">
        <v>299</v>
      </c>
      <c r="G215" s="51" t="s">
        <v>300</v>
      </c>
      <c r="H215" s="52">
        <v>1.3989996147353718</v>
      </c>
      <c r="I215" s="52">
        <v>1.43</v>
      </c>
      <c r="J215" s="52">
        <v>99.89</v>
      </c>
      <c r="K215" s="52">
        <f t="shared" si="51"/>
        <v>1.278034813</v>
      </c>
      <c r="L215" s="52">
        <f t="shared" si="2"/>
        <v>3.834104438</v>
      </c>
      <c r="M215" s="52">
        <v>0.0</v>
      </c>
      <c r="N215" s="52">
        <v>0.0</v>
      </c>
      <c r="O215" s="52">
        <v>0.0</v>
      </c>
      <c r="P215" s="52">
        <v>0.0</v>
      </c>
      <c r="Q215" s="52">
        <v>37.35</v>
      </c>
      <c r="R215" s="52">
        <v>0.01</v>
      </c>
      <c r="S215" s="52">
        <f t="shared" si="3"/>
        <v>0</v>
      </c>
      <c r="T215" s="52">
        <f t="shared" si="4"/>
        <v>0</v>
      </c>
      <c r="U215" s="52">
        <f t="shared" si="5"/>
        <v>0</v>
      </c>
      <c r="V215" s="52">
        <f t="shared" si="6"/>
        <v>0</v>
      </c>
      <c r="W215" s="52">
        <f t="shared" si="7"/>
        <v>0.534105</v>
      </c>
      <c r="X215" s="52">
        <f t="shared" si="8"/>
        <v>0.000143</v>
      </c>
    </row>
    <row r="216" ht="15.0" customHeight="1">
      <c r="A216" s="51">
        <v>50.0</v>
      </c>
      <c r="B216" s="51" t="s">
        <v>61</v>
      </c>
      <c r="C216" s="51">
        <v>192.0</v>
      </c>
      <c r="D216" s="51" t="s">
        <v>16</v>
      </c>
      <c r="E216" s="51" t="s">
        <v>17</v>
      </c>
      <c r="F216" s="51" t="s">
        <v>299</v>
      </c>
      <c r="G216" s="51" t="s">
        <v>300</v>
      </c>
      <c r="H216" s="52">
        <v>23.827856299190262</v>
      </c>
      <c r="I216" s="52">
        <v>27.04</v>
      </c>
      <c r="J216" s="52">
        <v>88.05</v>
      </c>
      <c r="K216" s="52">
        <f t="shared" ref="K216:K219" si="52">IF(J216&gt;0,(I216/J216)/SUMPRODUCT($I$216:$I$219/$J$216:$J$219)*100,"")</f>
        <v>27.06868384</v>
      </c>
      <c r="L216" s="52">
        <f t="shared" si="2"/>
        <v>81.20605152</v>
      </c>
      <c r="M216" s="52">
        <v>17.12</v>
      </c>
      <c r="N216" s="52">
        <v>71.35</v>
      </c>
      <c r="O216" s="52">
        <v>43.96</v>
      </c>
      <c r="P216" s="52">
        <v>3.58</v>
      </c>
      <c r="Q216" s="52">
        <v>0.19</v>
      </c>
      <c r="R216" s="52">
        <v>0.95</v>
      </c>
      <c r="S216" s="52">
        <f t="shared" si="3"/>
        <v>4.629248</v>
      </c>
      <c r="T216" s="52">
        <f t="shared" si="4"/>
        <v>19.29304</v>
      </c>
      <c r="U216" s="52">
        <f t="shared" si="5"/>
        <v>11.886784</v>
      </c>
      <c r="V216" s="52">
        <f t="shared" si="6"/>
        <v>0.968032</v>
      </c>
      <c r="W216" s="52">
        <f t="shared" si="7"/>
        <v>0.051376</v>
      </c>
      <c r="X216" s="52">
        <f t="shared" si="8"/>
        <v>0.25688</v>
      </c>
    </row>
    <row r="217" ht="15.0" customHeight="1">
      <c r="A217" s="51">
        <v>50.0</v>
      </c>
      <c r="B217" s="51" t="s">
        <v>61</v>
      </c>
      <c r="C217" s="51">
        <v>188.0</v>
      </c>
      <c r="D217" s="51" t="s">
        <v>16</v>
      </c>
      <c r="E217" s="51" t="s">
        <v>19</v>
      </c>
      <c r="F217" s="51" t="s">
        <v>299</v>
      </c>
      <c r="G217" s="51" t="s">
        <v>300</v>
      </c>
      <c r="H217" s="52">
        <v>65.8370121908526</v>
      </c>
      <c r="I217" s="52">
        <v>63.27</v>
      </c>
      <c r="J217" s="52">
        <v>87.78</v>
      </c>
      <c r="K217" s="52">
        <f t="shared" si="52"/>
        <v>63.5319332</v>
      </c>
      <c r="L217" s="52">
        <f t="shared" si="2"/>
        <v>190.5957996</v>
      </c>
      <c r="M217" s="52">
        <v>9.1</v>
      </c>
      <c r="N217" s="52">
        <v>86.03</v>
      </c>
      <c r="O217" s="52">
        <v>14.39</v>
      </c>
      <c r="P217" s="52">
        <v>4.18</v>
      </c>
      <c r="Q217" s="52">
        <v>0.03</v>
      </c>
      <c r="R217" s="52">
        <v>0.25</v>
      </c>
      <c r="S217" s="52">
        <f t="shared" si="3"/>
        <v>5.75757</v>
      </c>
      <c r="T217" s="52">
        <f t="shared" si="4"/>
        <v>54.431181</v>
      </c>
      <c r="U217" s="52">
        <f t="shared" si="5"/>
        <v>9.104553</v>
      </c>
      <c r="V217" s="52">
        <f t="shared" si="6"/>
        <v>2.644686</v>
      </c>
      <c r="W217" s="52">
        <f t="shared" si="7"/>
        <v>0.018981</v>
      </c>
      <c r="X217" s="52">
        <f t="shared" si="8"/>
        <v>0.158175</v>
      </c>
    </row>
    <row r="218" ht="15.0" customHeight="1">
      <c r="A218" s="51">
        <v>50.0</v>
      </c>
      <c r="B218" s="51" t="s">
        <v>61</v>
      </c>
      <c r="C218" s="51">
        <v>208.0</v>
      </c>
      <c r="D218" s="51" t="s">
        <v>22</v>
      </c>
      <c r="E218" s="51" t="s">
        <v>23</v>
      </c>
      <c r="F218" s="51" t="s">
        <v>299</v>
      </c>
      <c r="G218" s="51" t="s">
        <v>300</v>
      </c>
      <c r="H218" s="52">
        <v>8.099882879842161</v>
      </c>
      <c r="I218" s="52">
        <v>7.46</v>
      </c>
      <c r="J218" s="52">
        <v>88.48</v>
      </c>
      <c r="K218" s="52">
        <f t="shared" si="52"/>
        <v>7.431620536</v>
      </c>
      <c r="L218" s="52">
        <f t="shared" si="2"/>
        <v>22.29486161</v>
      </c>
      <c r="M218" s="52">
        <v>48.76</v>
      </c>
      <c r="N218" s="52">
        <v>80.73</v>
      </c>
      <c r="O218" s="52">
        <v>15.37</v>
      </c>
      <c r="P218" s="52">
        <v>1.75</v>
      </c>
      <c r="Q218" s="52">
        <v>0.33</v>
      </c>
      <c r="R218" s="52">
        <v>0.57</v>
      </c>
      <c r="S218" s="52">
        <f t="shared" si="3"/>
        <v>3.637496</v>
      </c>
      <c r="T218" s="52">
        <f t="shared" si="4"/>
        <v>6.022458</v>
      </c>
      <c r="U218" s="52">
        <f t="shared" si="5"/>
        <v>1.146602</v>
      </c>
      <c r="V218" s="52">
        <f t="shared" si="6"/>
        <v>0.13055</v>
      </c>
      <c r="W218" s="52">
        <f t="shared" si="7"/>
        <v>0.024618</v>
      </c>
      <c r="X218" s="52">
        <f t="shared" si="8"/>
        <v>0.042522</v>
      </c>
    </row>
    <row r="219" ht="15.0" customHeight="1">
      <c r="A219" s="51">
        <v>50.0</v>
      </c>
      <c r="B219" s="51" t="s">
        <v>61</v>
      </c>
      <c r="C219" s="51">
        <v>213.0</v>
      </c>
      <c r="D219" s="51" t="s">
        <v>24</v>
      </c>
      <c r="E219" s="51" t="s">
        <v>26</v>
      </c>
      <c r="F219" s="51" t="s">
        <v>299</v>
      </c>
      <c r="G219" s="51" t="s">
        <v>300</v>
      </c>
      <c r="H219" s="52">
        <v>2.2352486301149668</v>
      </c>
      <c r="I219" s="52">
        <v>2.23</v>
      </c>
      <c r="J219" s="52">
        <v>99.89</v>
      </c>
      <c r="K219" s="52">
        <f t="shared" si="52"/>
        <v>1.967762422</v>
      </c>
      <c r="L219" s="52">
        <f t="shared" si="2"/>
        <v>5.903287265</v>
      </c>
      <c r="M219" s="52">
        <v>0.0</v>
      </c>
      <c r="N219" s="52">
        <v>0.0</v>
      </c>
      <c r="O219" s="52">
        <v>0.0</v>
      </c>
      <c r="P219" s="52">
        <v>0.0</v>
      </c>
      <c r="Q219" s="52">
        <v>37.35</v>
      </c>
      <c r="R219" s="52">
        <v>0.01</v>
      </c>
      <c r="S219" s="52">
        <f t="shared" si="3"/>
        <v>0</v>
      </c>
      <c r="T219" s="52">
        <f t="shared" si="4"/>
        <v>0</v>
      </c>
      <c r="U219" s="52">
        <f t="shared" si="5"/>
        <v>0</v>
      </c>
      <c r="V219" s="52">
        <f t="shared" si="6"/>
        <v>0</v>
      </c>
      <c r="W219" s="52">
        <f t="shared" si="7"/>
        <v>0.832905</v>
      </c>
      <c r="X219" s="52">
        <f t="shared" si="8"/>
        <v>0.000223</v>
      </c>
    </row>
    <row r="220" ht="15.0" customHeight="1">
      <c r="A220" s="51">
        <v>51.0</v>
      </c>
      <c r="B220" s="51" t="s">
        <v>61</v>
      </c>
      <c r="C220" s="51">
        <v>188.0</v>
      </c>
      <c r="D220" s="51" t="s">
        <v>16</v>
      </c>
      <c r="E220" s="51" t="s">
        <v>19</v>
      </c>
      <c r="F220" s="51" t="s">
        <v>299</v>
      </c>
      <c r="G220" s="51" t="s">
        <v>300</v>
      </c>
      <c r="H220" s="52">
        <v>55.526348074337136</v>
      </c>
      <c r="I220" s="52">
        <v>49.2</v>
      </c>
      <c r="J220" s="52">
        <v>87.78</v>
      </c>
      <c r="K220" s="52">
        <f t="shared" ref="K220:K223" si="53">IF(J220&gt;0,(I220/J220)/SUMPRODUCT($I$220:$I$223/$J$220:$J$223)*100,"")</f>
        <v>49.96938673</v>
      </c>
      <c r="L220" s="52">
        <f t="shared" si="2"/>
        <v>149.9081602</v>
      </c>
      <c r="M220" s="52">
        <v>9.1</v>
      </c>
      <c r="N220" s="52">
        <v>86.03</v>
      </c>
      <c r="O220" s="52">
        <v>14.39</v>
      </c>
      <c r="P220" s="52">
        <v>4.18</v>
      </c>
      <c r="Q220" s="52">
        <v>0.03</v>
      </c>
      <c r="R220" s="52">
        <v>0.25</v>
      </c>
      <c r="S220" s="52">
        <f t="shared" si="3"/>
        <v>4.4772</v>
      </c>
      <c r="T220" s="52">
        <f t="shared" si="4"/>
        <v>42.32676</v>
      </c>
      <c r="U220" s="52">
        <f t="shared" si="5"/>
        <v>7.07988</v>
      </c>
      <c r="V220" s="52">
        <f t="shared" si="6"/>
        <v>2.05656</v>
      </c>
      <c r="W220" s="52">
        <f t="shared" si="7"/>
        <v>0.01476</v>
      </c>
      <c r="X220" s="52">
        <f t="shared" si="8"/>
        <v>0.123</v>
      </c>
    </row>
    <row r="221" ht="15.0" customHeight="1">
      <c r="A221" s="51">
        <v>51.0</v>
      </c>
      <c r="B221" s="51" t="s">
        <v>61</v>
      </c>
      <c r="C221" s="51">
        <v>173.0</v>
      </c>
      <c r="D221" s="51" t="s">
        <v>16</v>
      </c>
      <c r="E221" s="51" t="s">
        <v>52</v>
      </c>
      <c r="F221" s="51" t="s">
        <v>299</v>
      </c>
      <c r="G221" s="51" t="s">
        <v>300</v>
      </c>
      <c r="H221" s="52">
        <v>34.68737862268079</v>
      </c>
      <c r="I221" s="52">
        <v>41.83</v>
      </c>
      <c r="J221" s="52">
        <v>90.57</v>
      </c>
      <c r="K221" s="52">
        <f t="shared" si="53"/>
        <v>41.17541547</v>
      </c>
      <c r="L221" s="52">
        <f t="shared" si="2"/>
        <v>123.5262464</v>
      </c>
      <c r="M221" s="52">
        <v>14.21</v>
      </c>
      <c r="N221" s="52">
        <v>75.24</v>
      </c>
      <c r="O221" s="52">
        <v>27.69</v>
      </c>
      <c r="P221" s="52">
        <v>5.13</v>
      </c>
      <c r="Q221" s="52">
        <v>0.13</v>
      </c>
      <c r="R221" s="52">
        <v>0.35</v>
      </c>
      <c r="S221" s="52">
        <f t="shared" si="3"/>
        <v>5.944043</v>
      </c>
      <c r="T221" s="52">
        <f t="shared" si="4"/>
        <v>31.472892</v>
      </c>
      <c r="U221" s="52">
        <f t="shared" si="5"/>
        <v>11.582727</v>
      </c>
      <c r="V221" s="52">
        <f t="shared" si="6"/>
        <v>2.145879</v>
      </c>
      <c r="W221" s="52">
        <f t="shared" si="7"/>
        <v>0.054379</v>
      </c>
      <c r="X221" s="52">
        <f t="shared" si="8"/>
        <v>0.146405</v>
      </c>
    </row>
    <row r="222" ht="15.0" customHeight="1">
      <c r="A222" s="51">
        <v>51.0</v>
      </c>
      <c r="B222" s="51" t="s">
        <v>61</v>
      </c>
      <c r="C222" s="51">
        <v>208.0</v>
      </c>
      <c r="D222" s="51" t="s">
        <v>22</v>
      </c>
      <c r="E222" s="51" t="s">
        <v>23</v>
      </c>
      <c r="F222" s="51" t="s">
        <v>299</v>
      </c>
      <c r="G222" s="51" t="s">
        <v>300</v>
      </c>
      <c r="H222" s="52">
        <v>8.281431138130396</v>
      </c>
      <c r="I222" s="52">
        <v>7.380000000000001</v>
      </c>
      <c r="J222" s="52">
        <v>88.48</v>
      </c>
      <c r="K222" s="52">
        <f t="shared" si="53"/>
        <v>7.436108896</v>
      </c>
      <c r="L222" s="52">
        <f t="shared" si="2"/>
        <v>22.30832669</v>
      </c>
      <c r="M222" s="52">
        <v>48.76</v>
      </c>
      <c r="N222" s="52">
        <v>80.73</v>
      </c>
      <c r="O222" s="52">
        <v>15.37</v>
      </c>
      <c r="P222" s="52">
        <v>1.75</v>
      </c>
      <c r="Q222" s="52">
        <v>0.33</v>
      </c>
      <c r="R222" s="52">
        <v>0.57</v>
      </c>
      <c r="S222" s="52">
        <f t="shared" si="3"/>
        <v>3.598488</v>
      </c>
      <c r="T222" s="52">
        <f t="shared" si="4"/>
        <v>5.957874</v>
      </c>
      <c r="U222" s="52">
        <f t="shared" si="5"/>
        <v>1.134306</v>
      </c>
      <c r="V222" s="52">
        <f t="shared" si="6"/>
        <v>0.12915</v>
      </c>
      <c r="W222" s="52">
        <f t="shared" si="7"/>
        <v>0.024354</v>
      </c>
      <c r="X222" s="52">
        <f t="shared" si="8"/>
        <v>0.042066</v>
      </c>
    </row>
    <row r="223" ht="15.0" customHeight="1">
      <c r="A223" s="51">
        <v>51.0</v>
      </c>
      <c r="B223" s="51" t="s">
        <v>61</v>
      </c>
      <c r="C223" s="51">
        <v>213.0</v>
      </c>
      <c r="D223" s="51" t="s">
        <v>24</v>
      </c>
      <c r="E223" s="51" t="s">
        <v>26</v>
      </c>
      <c r="F223" s="51" t="s">
        <v>299</v>
      </c>
      <c r="G223" s="51" t="s">
        <v>300</v>
      </c>
      <c r="H223" s="52">
        <v>1.5048421648516865</v>
      </c>
      <c r="I223" s="52">
        <v>1.59</v>
      </c>
      <c r="J223" s="52">
        <v>99.89</v>
      </c>
      <c r="K223" s="52">
        <f t="shared" si="53"/>
        <v>1.419088904</v>
      </c>
      <c r="L223" s="52">
        <f t="shared" si="2"/>
        <v>4.257266713</v>
      </c>
      <c r="M223" s="52">
        <v>0.0</v>
      </c>
      <c r="N223" s="52">
        <v>0.0</v>
      </c>
      <c r="O223" s="52">
        <v>0.0</v>
      </c>
      <c r="P223" s="52">
        <v>0.0</v>
      </c>
      <c r="Q223" s="52">
        <v>37.35</v>
      </c>
      <c r="R223" s="52">
        <v>0.01</v>
      </c>
      <c r="S223" s="52">
        <f t="shared" si="3"/>
        <v>0</v>
      </c>
      <c r="T223" s="52">
        <f t="shared" si="4"/>
        <v>0</v>
      </c>
      <c r="U223" s="52">
        <f t="shared" si="5"/>
        <v>0</v>
      </c>
      <c r="V223" s="52">
        <f t="shared" si="6"/>
        <v>0</v>
      </c>
      <c r="W223" s="52">
        <f t="shared" si="7"/>
        <v>0.593865</v>
      </c>
      <c r="X223" s="52">
        <f t="shared" si="8"/>
        <v>0.000159</v>
      </c>
    </row>
    <row r="224" ht="15.0" customHeight="1">
      <c r="A224" s="51">
        <v>52.0</v>
      </c>
      <c r="B224" s="51" t="s">
        <v>61</v>
      </c>
      <c r="C224" s="51">
        <v>192.0</v>
      </c>
      <c r="D224" s="51" t="s">
        <v>16</v>
      </c>
      <c r="E224" s="51" t="s">
        <v>17</v>
      </c>
      <c r="F224" s="51" t="s">
        <v>299</v>
      </c>
      <c r="G224" s="51" t="s">
        <v>300</v>
      </c>
      <c r="H224" s="52">
        <v>9.120230416744105</v>
      </c>
      <c r="I224" s="52">
        <v>9.12</v>
      </c>
      <c r="J224" s="52">
        <v>88.05</v>
      </c>
      <c r="K224" s="52">
        <f t="shared" ref="K224:K227" si="54">IF(J224&gt;0,(I224/J224)/SUMPRODUCT($I$224:$I$227/$J$224:$J$227)*100,"")</f>
        <v>9.131621776</v>
      </c>
      <c r="L224" s="52">
        <f t="shared" si="2"/>
        <v>27.39486533</v>
      </c>
      <c r="M224" s="52">
        <v>17.12</v>
      </c>
      <c r="N224" s="52">
        <v>71.35</v>
      </c>
      <c r="O224" s="52">
        <v>43.96</v>
      </c>
      <c r="P224" s="52">
        <v>3.58</v>
      </c>
      <c r="Q224" s="52">
        <v>0.19</v>
      </c>
      <c r="R224" s="52">
        <v>0.95</v>
      </c>
      <c r="S224" s="52">
        <f t="shared" si="3"/>
        <v>1.561344</v>
      </c>
      <c r="T224" s="52">
        <f t="shared" si="4"/>
        <v>6.50712</v>
      </c>
      <c r="U224" s="52">
        <f t="shared" si="5"/>
        <v>4.009152</v>
      </c>
      <c r="V224" s="52">
        <f t="shared" si="6"/>
        <v>0.326496</v>
      </c>
      <c r="W224" s="52">
        <f t="shared" si="7"/>
        <v>0.017328</v>
      </c>
      <c r="X224" s="52">
        <f t="shared" si="8"/>
        <v>0.08664</v>
      </c>
    </row>
    <row r="225" ht="15.0" customHeight="1">
      <c r="A225" s="51">
        <v>52.0</v>
      </c>
      <c r="B225" s="51" t="s">
        <v>61</v>
      </c>
      <c r="C225" s="51">
        <v>188.0</v>
      </c>
      <c r="D225" s="51" t="s">
        <v>16</v>
      </c>
      <c r="E225" s="51" t="s">
        <v>19</v>
      </c>
      <c r="F225" s="51" t="s">
        <v>299</v>
      </c>
      <c r="G225" s="51" t="s">
        <v>300</v>
      </c>
      <c r="H225" s="52">
        <v>66.26136761199808</v>
      </c>
      <c r="I225" s="52">
        <v>66.26</v>
      </c>
      <c r="J225" s="52">
        <v>87.78</v>
      </c>
      <c r="K225" s="52">
        <f t="shared" si="54"/>
        <v>66.54850324</v>
      </c>
      <c r="L225" s="52">
        <f t="shared" si="2"/>
        <v>199.6455097</v>
      </c>
      <c r="M225" s="52">
        <v>9.1</v>
      </c>
      <c r="N225" s="52">
        <v>86.03</v>
      </c>
      <c r="O225" s="52">
        <v>14.39</v>
      </c>
      <c r="P225" s="52">
        <v>4.18</v>
      </c>
      <c r="Q225" s="52">
        <v>0.03</v>
      </c>
      <c r="R225" s="52">
        <v>0.25</v>
      </c>
      <c r="S225" s="52">
        <f t="shared" si="3"/>
        <v>6.02966</v>
      </c>
      <c r="T225" s="52">
        <f t="shared" si="4"/>
        <v>57.003478</v>
      </c>
      <c r="U225" s="52">
        <f t="shared" si="5"/>
        <v>9.534814</v>
      </c>
      <c r="V225" s="52">
        <f t="shared" si="6"/>
        <v>2.769668</v>
      </c>
      <c r="W225" s="52">
        <f t="shared" si="7"/>
        <v>0.019878</v>
      </c>
      <c r="X225" s="52">
        <f t="shared" si="8"/>
        <v>0.16565</v>
      </c>
    </row>
    <row r="226" ht="15.0" customHeight="1">
      <c r="A226" s="51">
        <v>52.0</v>
      </c>
      <c r="B226" s="51" t="s">
        <v>61</v>
      </c>
      <c r="C226" s="51">
        <v>208.0</v>
      </c>
      <c r="D226" s="51" t="s">
        <v>22</v>
      </c>
      <c r="E226" s="51" t="s">
        <v>23</v>
      </c>
      <c r="F226" s="51" t="s">
        <v>299</v>
      </c>
      <c r="G226" s="51" t="s">
        <v>300</v>
      </c>
      <c r="H226" s="52">
        <v>22.75574402549277</v>
      </c>
      <c r="I226" s="52">
        <v>22.76</v>
      </c>
      <c r="J226" s="52">
        <v>88.48</v>
      </c>
      <c r="K226" s="52">
        <f t="shared" si="54"/>
        <v>22.67825221</v>
      </c>
      <c r="L226" s="52">
        <f t="shared" si="2"/>
        <v>68.03475662</v>
      </c>
      <c r="M226" s="52">
        <v>48.76</v>
      </c>
      <c r="N226" s="52">
        <v>80.73</v>
      </c>
      <c r="O226" s="52">
        <v>15.37</v>
      </c>
      <c r="P226" s="52">
        <v>1.75</v>
      </c>
      <c r="Q226" s="52">
        <v>0.33</v>
      </c>
      <c r="R226" s="52">
        <v>0.57</v>
      </c>
      <c r="S226" s="52">
        <f t="shared" si="3"/>
        <v>11.097776</v>
      </c>
      <c r="T226" s="52">
        <f t="shared" si="4"/>
        <v>18.374148</v>
      </c>
      <c r="U226" s="52">
        <f t="shared" si="5"/>
        <v>3.498212</v>
      </c>
      <c r="V226" s="52">
        <f t="shared" si="6"/>
        <v>0.3983</v>
      </c>
      <c r="W226" s="52">
        <f t="shared" si="7"/>
        <v>0.075108</v>
      </c>
      <c r="X226" s="52">
        <f t="shared" si="8"/>
        <v>0.129732</v>
      </c>
    </row>
    <row r="227" ht="15.0" customHeight="1">
      <c r="A227" s="51">
        <v>52.0</v>
      </c>
      <c r="B227" s="51" t="s">
        <v>61</v>
      </c>
      <c r="C227" s="51">
        <v>213.0</v>
      </c>
      <c r="D227" s="51" t="s">
        <v>24</v>
      </c>
      <c r="E227" s="51" t="s">
        <v>26</v>
      </c>
      <c r="F227" s="51" t="s">
        <v>299</v>
      </c>
      <c r="G227" s="51" t="s">
        <v>300</v>
      </c>
      <c r="H227" s="52">
        <v>1.8626579457650534</v>
      </c>
      <c r="I227" s="52">
        <v>1.86</v>
      </c>
      <c r="J227" s="52">
        <v>99.89</v>
      </c>
      <c r="K227" s="52">
        <f t="shared" si="54"/>
        <v>1.641622773</v>
      </c>
      <c r="L227" s="52">
        <f t="shared" si="2"/>
        <v>4.924868319</v>
      </c>
      <c r="M227" s="52">
        <v>0.0</v>
      </c>
      <c r="N227" s="52">
        <v>0.0</v>
      </c>
      <c r="O227" s="52">
        <v>0.0</v>
      </c>
      <c r="P227" s="52">
        <v>0.0</v>
      </c>
      <c r="Q227" s="52">
        <v>37.35</v>
      </c>
      <c r="R227" s="52">
        <v>0.01</v>
      </c>
      <c r="S227" s="52">
        <f t="shared" si="3"/>
        <v>0</v>
      </c>
      <c r="T227" s="52">
        <f t="shared" si="4"/>
        <v>0</v>
      </c>
      <c r="U227" s="52">
        <f t="shared" si="5"/>
        <v>0</v>
      </c>
      <c r="V227" s="52">
        <f t="shared" si="6"/>
        <v>0</v>
      </c>
      <c r="W227" s="52">
        <f t="shared" si="7"/>
        <v>0.69471</v>
      </c>
      <c r="X227" s="52">
        <f t="shared" si="8"/>
        <v>0.000186</v>
      </c>
    </row>
    <row r="228" ht="15.0" customHeight="1">
      <c r="A228" s="51">
        <v>53.0</v>
      </c>
      <c r="B228" s="51" t="s">
        <v>61</v>
      </c>
      <c r="C228" s="51">
        <v>188.0</v>
      </c>
      <c r="D228" s="51" t="s">
        <v>16</v>
      </c>
      <c r="E228" s="51" t="s">
        <v>19</v>
      </c>
      <c r="F228" s="51" t="s">
        <v>299</v>
      </c>
      <c r="G228" s="51" t="s">
        <v>300</v>
      </c>
      <c r="H228" s="52">
        <v>40.270816266065715</v>
      </c>
      <c r="I228" s="52">
        <v>40.27</v>
      </c>
      <c r="J228" s="52">
        <v>87.78</v>
      </c>
      <c r="K228" s="52">
        <f t="shared" ref="K228:K231" si="55">IF(J228&gt;0,(I228/J228)/SUMPRODUCT($I$228:$I$231/$J$228:$J$231)*100,"")</f>
        <v>40.90042909</v>
      </c>
      <c r="L228" s="52">
        <f t="shared" si="2"/>
        <v>122.7012873</v>
      </c>
      <c r="M228" s="52">
        <v>9.1</v>
      </c>
      <c r="N228" s="52">
        <v>86.03</v>
      </c>
      <c r="O228" s="52">
        <v>14.39</v>
      </c>
      <c r="P228" s="52">
        <v>4.18</v>
      </c>
      <c r="Q228" s="52">
        <v>0.03</v>
      </c>
      <c r="R228" s="52">
        <v>0.25</v>
      </c>
      <c r="S228" s="52">
        <f t="shared" si="3"/>
        <v>3.66457</v>
      </c>
      <c r="T228" s="52">
        <f t="shared" si="4"/>
        <v>34.644281</v>
      </c>
      <c r="U228" s="52">
        <f t="shared" si="5"/>
        <v>5.794853</v>
      </c>
      <c r="V228" s="52">
        <f t="shared" si="6"/>
        <v>1.683286</v>
      </c>
      <c r="W228" s="52">
        <f t="shared" si="7"/>
        <v>0.012081</v>
      </c>
      <c r="X228" s="52">
        <f t="shared" si="8"/>
        <v>0.100675</v>
      </c>
    </row>
    <row r="229" ht="15.0" customHeight="1">
      <c r="A229" s="51">
        <v>53.0</v>
      </c>
      <c r="B229" s="51" t="s">
        <v>61</v>
      </c>
      <c r="C229" s="51">
        <v>173.0</v>
      </c>
      <c r="D229" s="51" t="s">
        <v>16</v>
      </c>
      <c r="E229" s="51" t="s">
        <v>52</v>
      </c>
      <c r="F229" s="51" t="s">
        <v>299</v>
      </c>
      <c r="G229" s="51" t="s">
        <v>300</v>
      </c>
      <c r="H229" s="52">
        <v>38.47034852066669</v>
      </c>
      <c r="I229" s="52">
        <v>38.47</v>
      </c>
      <c r="J229" s="52">
        <v>90.57</v>
      </c>
      <c r="K229" s="52">
        <f t="shared" si="55"/>
        <v>37.86863315</v>
      </c>
      <c r="L229" s="52">
        <f t="shared" si="2"/>
        <v>113.6058994</v>
      </c>
      <c r="M229" s="52">
        <v>14.21</v>
      </c>
      <c r="N229" s="52">
        <v>75.24</v>
      </c>
      <c r="O229" s="52">
        <v>27.69</v>
      </c>
      <c r="P229" s="52">
        <v>5.13</v>
      </c>
      <c r="Q229" s="52">
        <v>0.13</v>
      </c>
      <c r="R229" s="52">
        <v>0.35</v>
      </c>
      <c r="S229" s="52">
        <f t="shared" si="3"/>
        <v>5.466587</v>
      </c>
      <c r="T229" s="52">
        <f t="shared" si="4"/>
        <v>28.944828</v>
      </c>
      <c r="U229" s="52">
        <f t="shared" si="5"/>
        <v>10.652343</v>
      </c>
      <c r="V229" s="52">
        <f t="shared" si="6"/>
        <v>1.973511</v>
      </c>
      <c r="W229" s="52">
        <f t="shared" si="7"/>
        <v>0.050011</v>
      </c>
      <c r="X229" s="52">
        <f t="shared" si="8"/>
        <v>0.134645</v>
      </c>
    </row>
    <row r="230" ht="15.0" customHeight="1">
      <c r="A230" s="51">
        <v>53.0</v>
      </c>
      <c r="B230" s="51" t="s">
        <v>61</v>
      </c>
      <c r="C230" s="51">
        <v>208.0</v>
      </c>
      <c r="D230" s="51" t="s">
        <v>22</v>
      </c>
      <c r="E230" s="51" t="s">
        <v>23</v>
      </c>
      <c r="F230" s="51" t="s">
        <v>299</v>
      </c>
      <c r="G230" s="51" t="s">
        <v>300</v>
      </c>
      <c r="H230" s="52">
        <v>19.597185975943336</v>
      </c>
      <c r="I230" s="52">
        <v>19.6</v>
      </c>
      <c r="J230" s="52">
        <v>88.48</v>
      </c>
      <c r="K230" s="52">
        <f t="shared" si="55"/>
        <v>19.74934828</v>
      </c>
      <c r="L230" s="52">
        <f t="shared" si="2"/>
        <v>59.24804483</v>
      </c>
      <c r="M230" s="52">
        <v>48.76</v>
      </c>
      <c r="N230" s="52">
        <v>80.73</v>
      </c>
      <c r="O230" s="52">
        <v>15.37</v>
      </c>
      <c r="P230" s="52">
        <v>1.75</v>
      </c>
      <c r="Q230" s="52">
        <v>0.33</v>
      </c>
      <c r="R230" s="52">
        <v>0.57</v>
      </c>
      <c r="S230" s="52">
        <f t="shared" si="3"/>
        <v>9.55696</v>
      </c>
      <c r="T230" s="52">
        <f t="shared" si="4"/>
        <v>15.82308</v>
      </c>
      <c r="U230" s="52">
        <f t="shared" si="5"/>
        <v>3.01252</v>
      </c>
      <c r="V230" s="52">
        <f t="shared" si="6"/>
        <v>0.343</v>
      </c>
      <c r="W230" s="52">
        <f t="shared" si="7"/>
        <v>0.06468</v>
      </c>
      <c r="X230" s="52">
        <f t="shared" si="8"/>
        <v>0.11172</v>
      </c>
    </row>
    <row r="231" ht="15.0" customHeight="1">
      <c r="A231" s="51">
        <v>53.0</v>
      </c>
      <c r="B231" s="51" t="s">
        <v>61</v>
      </c>
      <c r="C231" s="51">
        <v>213.0</v>
      </c>
      <c r="D231" s="51" t="s">
        <v>24</v>
      </c>
      <c r="E231" s="51" t="s">
        <v>26</v>
      </c>
      <c r="F231" s="51" t="s">
        <v>299</v>
      </c>
      <c r="G231" s="51" t="s">
        <v>300</v>
      </c>
      <c r="H231" s="52">
        <v>1.6616492373242637</v>
      </c>
      <c r="I231" s="52">
        <v>1.66</v>
      </c>
      <c r="J231" s="52">
        <v>99.89</v>
      </c>
      <c r="K231" s="52">
        <f t="shared" si="55"/>
        <v>1.481589482</v>
      </c>
      <c r="L231" s="52">
        <f t="shared" si="2"/>
        <v>4.444768445</v>
      </c>
      <c r="M231" s="52">
        <v>0.0</v>
      </c>
      <c r="N231" s="52">
        <v>0.0</v>
      </c>
      <c r="O231" s="52">
        <v>0.0</v>
      </c>
      <c r="P231" s="52">
        <v>0.0</v>
      </c>
      <c r="Q231" s="52">
        <v>37.35</v>
      </c>
      <c r="R231" s="52">
        <v>0.01</v>
      </c>
      <c r="S231" s="52">
        <f t="shared" si="3"/>
        <v>0</v>
      </c>
      <c r="T231" s="52">
        <f t="shared" si="4"/>
        <v>0</v>
      </c>
      <c r="U231" s="52">
        <f t="shared" si="5"/>
        <v>0</v>
      </c>
      <c r="V231" s="52">
        <f t="shared" si="6"/>
        <v>0</v>
      </c>
      <c r="W231" s="52">
        <f t="shared" si="7"/>
        <v>0.62001</v>
      </c>
      <c r="X231" s="52">
        <f t="shared" si="8"/>
        <v>0.000166</v>
      </c>
    </row>
    <row r="232" ht="15.0" customHeight="1">
      <c r="A232" s="51">
        <v>54.0</v>
      </c>
      <c r="B232" s="51" t="s">
        <v>61</v>
      </c>
      <c r="C232" s="51">
        <v>192.0</v>
      </c>
      <c r="D232" s="51" t="s">
        <v>16</v>
      </c>
      <c r="E232" s="51" t="s">
        <v>17</v>
      </c>
      <c r="F232" s="51" t="s">
        <v>299</v>
      </c>
      <c r="G232" s="51" t="s">
        <v>300</v>
      </c>
      <c r="H232" s="52">
        <v>20.12946054654115</v>
      </c>
      <c r="I232" s="52">
        <v>20.13</v>
      </c>
      <c r="J232" s="52">
        <v>88.05</v>
      </c>
      <c r="K232" s="52">
        <f t="shared" ref="K232:K235" si="56">IF(J232&gt;0,(I232/J232)/SUMPRODUCT($I$232:$I$235/$J$232:$J$235)*100,"")</f>
        <v>20.19301001</v>
      </c>
      <c r="L232" s="52">
        <f t="shared" si="2"/>
        <v>60.57903004</v>
      </c>
      <c r="M232" s="52">
        <v>17.12</v>
      </c>
      <c r="N232" s="52">
        <v>71.35</v>
      </c>
      <c r="O232" s="52">
        <v>43.96</v>
      </c>
      <c r="P232" s="52">
        <v>3.58</v>
      </c>
      <c r="Q232" s="52">
        <v>0.19</v>
      </c>
      <c r="R232" s="52">
        <v>0.95</v>
      </c>
      <c r="S232" s="52">
        <f t="shared" si="3"/>
        <v>3.446256</v>
      </c>
      <c r="T232" s="52">
        <f t="shared" si="4"/>
        <v>14.362755</v>
      </c>
      <c r="U232" s="52">
        <f t="shared" si="5"/>
        <v>8.849148</v>
      </c>
      <c r="V232" s="52">
        <f t="shared" si="6"/>
        <v>0.720654</v>
      </c>
      <c r="W232" s="52">
        <f t="shared" si="7"/>
        <v>0.038247</v>
      </c>
      <c r="X232" s="52">
        <f t="shared" si="8"/>
        <v>0.191235</v>
      </c>
    </row>
    <row r="233" ht="15.0" customHeight="1">
      <c r="A233" s="51">
        <v>54.0</v>
      </c>
      <c r="B233" s="51" t="s">
        <v>61</v>
      </c>
      <c r="C233" s="51">
        <v>188.0</v>
      </c>
      <c r="D233" s="51" t="s">
        <v>16</v>
      </c>
      <c r="E233" s="51" t="s">
        <v>19</v>
      </c>
      <c r="F233" s="51" t="s">
        <v>299</v>
      </c>
      <c r="G233" s="51" t="s">
        <v>300</v>
      </c>
      <c r="H233" s="52">
        <v>42.67679375968559</v>
      </c>
      <c r="I233" s="52">
        <v>42.68</v>
      </c>
      <c r="J233" s="52">
        <v>87.78</v>
      </c>
      <c r="K233" s="52">
        <f t="shared" si="56"/>
        <v>42.94528412</v>
      </c>
      <c r="L233" s="52">
        <f t="shared" si="2"/>
        <v>128.8358524</v>
      </c>
      <c r="M233" s="52">
        <v>9.1</v>
      </c>
      <c r="N233" s="52">
        <v>86.03</v>
      </c>
      <c r="O233" s="52">
        <v>14.39</v>
      </c>
      <c r="P233" s="52">
        <v>4.18</v>
      </c>
      <c r="Q233" s="52">
        <v>0.03</v>
      </c>
      <c r="R233" s="52">
        <v>0.25</v>
      </c>
      <c r="S233" s="52">
        <f t="shared" si="3"/>
        <v>3.88388</v>
      </c>
      <c r="T233" s="52">
        <f t="shared" si="4"/>
        <v>36.717604</v>
      </c>
      <c r="U233" s="52">
        <f t="shared" si="5"/>
        <v>6.141652</v>
      </c>
      <c r="V233" s="52">
        <f t="shared" si="6"/>
        <v>1.784024</v>
      </c>
      <c r="W233" s="52">
        <f t="shared" si="7"/>
        <v>0.012804</v>
      </c>
      <c r="X233" s="52">
        <f t="shared" si="8"/>
        <v>0.1067</v>
      </c>
    </row>
    <row r="234" ht="15.0" customHeight="1">
      <c r="A234" s="51">
        <v>54.0</v>
      </c>
      <c r="B234" s="51" t="s">
        <v>61</v>
      </c>
      <c r="C234" s="51">
        <v>208.0</v>
      </c>
      <c r="D234" s="51" t="s">
        <v>22</v>
      </c>
      <c r="E234" s="51" t="s">
        <v>23</v>
      </c>
      <c r="F234" s="51" t="s">
        <v>299</v>
      </c>
      <c r="G234" s="51" t="s">
        <v>300</v>
      </c>
      <c r="H234" s="52">
        <v>34.889978231047294</v>
      </c>
      <c r="I234" s="52">
        <v>34.88</v>
      </c>
      <c r="J234" s="52">
        <v>88.48</v>
      </c>
      <c r="K234" s="52">
        <f t="shared" si="56"/>
        <v>34.81913745</v>
      </c>
      <c r="L234" s="52">
        <f t="shared" si="2"/>
        <v>104.4574123</v>
      </c>
      <c r="M234" s="52">
        <v>48.76</v>
      </c>
      <c r="N234" s="52">
        <v>80.73</v>
      </c>
      <c r="O234" s="52">
        <v>15.37</v>
      </c>
      <c r="P234" s="52">
        <v>1.75</v>
      </c>
      <c r="Q234" s="52">
        <v>0.33</v>
      </c>
      <c r="R234" s="52">
        <v>0.57</v>
      </c>
      <c r="S234" s="52">
        <f t="shared" si="3"/>
        <v>17.007488</v>
      </c>
      <c r="T234" s="52">
        <f t="shared" si="4"/>
        <v>28.158624</v>
      </c>
      <c r="U234" s="52">
        <f t="shared" si="5"/>
        <v>5.361056</v>
      </c>
      <c r="V234" s="52">
        <f t="shared" si="6"/>
        <v>0.6104</v>
      </c>
      <c r="W234" s="52">
        <f t="shared" si="7"/>
        <v>0.115104</v>
      </c>
      <c r="X234" s="52">
        <f t="shared" si="8"/>
        <v>0.198816</v>
      </c>
    </row>
    <row r="235" ht="15.0" customHeight="1">
      <c r="A235" s="51">
        <v>54.0</v>
      </c>
      <c r="B235" s="51" t="s">
        <v>61</v>
      </c>
      <c r="C235" s="51">
        <v>213.0</v>
      </c>
      <c r="D235" s="51" t="s">
        <v>24</v>
      </c>
      <c r="E235" s="51" t="s">
        <v>26</v>
      </c>
      <c r="F235" s="51" t="s">
        <v>299</v>
      </c>
      <c r="G235" s="51" t="s">
        <v>300</v>
      </c>
      <c r="H235" s="52">
        <v>2.3037674627259643</v>
      </c>
      <c r="I235" s="52">
        <v>2.31</v>
      </c>
      <c r="J235" s="52">
        <v>99.89</v>
      </c>
      <c r="K235" s="52">
        <f t="shared" si="56"/>
        <v>2.042568419</v>
      </c>
      <c r="L235" s="52">
        <f t="shared" si="2"/>
        <v>6.127705257</v>
      </c>
      <c r="M235" s="52">
        <v>0.0</v>
      </c>
      <c r="N235" s="52">
        <v>0.0</v>
      </c>
      <c r="O235" s="52">
        <v>0.0</v>
      </c>
      <c r="P235" s="52">
        <v>0.0</v>
      </c>
      <c r="Q235" s="52">
        <v>37.35</v>
      </c>
      <c r="R235" s="52">
        <v>0.01</v>
      </c>
      <c r="S235" s="52">
        <f t="shared" si="3"/>
        <v>0</v>
      </c>
      <c r="T235" s="52">
        <f t="shared" si="4"/>
        <v>0</v>
      </c>
      <c r="U235" s="52">
        <f t="shared" si="5"/>
        <v>0</v>
      </c>
      <c r="V235" s="52">
        <f t="shared" si="6"/>
        <v>0</v>
      </c>
      <c r="W235" s="52">
        <f t="shared" si="7"/>
        <v>0.862785</v>
      </c>
      <c r="X235" s="52">
        <f t="shared" si="8"/>
        <v>0.000231</v>
      </c>
    </row>
    <row r="236" ht="15.0" customHeight="1">
      <c r="A236" s="51">
        <v>55.0</v>
      </c>
      <c r="B236" s="51" t="s">
        <v>61</v>
      </c>
      <c r="C236" s="51">
        <v>188.0</v>
      </c>
      <c r="D236" s="51" t="s">
        <v>16</v>
      </c>
      <c r="E236" s="51" t="s">
        <v>19</v>
      </c>
      <c r="F236" s="51" t="s">
        <v>299</v>
      </c>
      <c r="G236" s="51" t="s">
        <v>300</v>
      </c>
      <c r="H236" s="52">
        <v>34.35819863494543</v>
      </c>
      <c r="I236" s="52">
        <v>34.36</v>
      </c>
      <c r="J236" s="52">
        <v>87.78</v>
      </c>
      <c r="K236" s="52">
        <f t="shared" ref="K236:K239" si="57">IF(J236&gt;0,(I236/J236)/SUMPRODUCT($I$236:$I$239/$J$236:$J$239)*100,"")</f>
        <v>34.85065104</v>
      </c>
      <c r="L236" s="52">
        <f t="shared" si="2"/>
        <v>104.5519531</v>
      </c>
      <c r="M236" s="52">
        <v>9.1</v>
      </c>
      <c r="N236" s="52">
        <v>86.03</v>
      </c>
      <c r="O236" s="52">
        <v>14.39</v>
      </c>
      <c r="P236" s="52">
        <v>4.18</v>
      </c>
      <c r="Q236" s="52">
        <v>0.03</v>
      </c>
      <c r="R236" s="52">
        <v>0.25</v>
      </c>
      <c r="S236" s="52">
        <f t="shared" si="3"/>
        <v>3.12676</v>
      </c>
      <c r="T236" s="52">
        <f t="shared" si="4"/>
        <v>29.559908</v>
      </c>
      <c r="U236" s="52">
        <f t="shared" si="5"/>
        <v>4.944404</v>
      </c>
      <c r="V236" s="52">
        <f t="shared" si="6"/>
        <v>1.436248</v>
      </c>
      <c r="W236" s="52">
        <f t="shared" si="7"/>
        <v>0.010308</v>
      </c>
      <c r="X236" s="52">
        <f t="shared" si="8"/>
        <v>0.0859</v>
      </c>
    </row>
    <row r="237" ht="15.0" customHeight="1">
      <c r="A237" s="51">
        <v>55.0</v>
      </c>
      <c r="B237" s="51" t="s">
        <v>61</v>
      </c>
      <c r="C237" s="51">
        <v>173.0</v>
      </c>
      <c r="D237" s="51" t="s">
        <v>16</v>
      </c>
      <c r="E237" s="51" t="s">
        <v>52</v>
      </c>
      <c r="F237" s="51" t="s">
        <v>299</v>
      </c>
      <c r="G237" s="51" t="s">
        <v>300</v>
      </c>
      <c r="H237" s="52">
        <v>28.21923141217335</v>
      </c>
      <c r="I237" s="52">
        <v>28.22</v>
      </c>
      <c r="J237" s="52">
        <v>90.57</v>
      </c>
      <c r="K237" s="52">
        <f t="shared" si="57"/>
        <v>27.74124568</v>
      </c>
      <c r="L237" s="52">
        <f t="shared" si="2"/>
        <v>83.22373704</v>
      </c>
      <c r="M237" s="52">
        <v>14.21</v>
      </c>
      <c r="N237" s="52">
        <v>75.24</v>
      </c>
      <c r="O237" s="52">
        <v>27.69</v>
      </c>
      <c r="P237" s="52">
        <v>5.13</v>
      </c>
      <c r="Q237" s="52">
        <v>0.13</v>
      </c>
      <c r="R237" s="52">
        <v>0.35</v>
      </c>
      <c r="S237" s="52">
        <f t="shared" si="3"/>
        <v>4.010062</v>
      </c>
      <c r="T237" s="52">
        <f t="shared" si="4"/>
        <v>21.232728</v>
      </c>
      <c r="U237" s="52">
        <f t="shared" si="5"/>
        <v>7.814118</v>
      </c>
      <c r="V237" s="52">
        <f t="shared" si="6"/>
        <v>1.447686</v>
      </c>
      <c r="W237" s="52">
        <f t="shared" si="7"/>
        <v>0.036686</v>
      </c>
      <c r="X237" s="52">
        <f t="shared" si="8"/>
        <v>0.09877</v>
      </c>
    </row>
    <row r="238" ht="15.0" customHeight="1">
      <c r="A238" s="51">
        <v>55.0</v>
      </c>
      <c r="B238" s="51" t="s">
        <v>61</v>
      </c>
      <c r="C238" s="51">
        <v>208.0</v>
      </c>
      <c r="D238" s="51" t="s">
        <v>22</v>
      </c>
      <c r="E238" s="51" t="s">
        <v>23</v>
      </c>
      <c r="F238" s="51" t="s">
        <v>299</v>
      </c>
      <c r="G238" s="51" t="s">
        <v>300</v>
      </c>
      <c r="H238" s="52">
        <v>35.286210836152634</v>
      </c>
      <c r="I238" s="52">
        <v>35.28</v>
      </c>
      <c r="J238" s="52">
        <v>88.48</v>
      </c>
      <c r="K238" s="52">
        <f t="shared" si="57"/>
        <v>35.50068879</v>
      </c>
      <c r="L238" s="52">
        <f t="shared" si="2"/>
        <v>106.5020664</v>
      </c>
      <c r="M238" s="52">
        <v>48.76</v>
      </c>
      <c r="N238" s="52">
        <v>80.73</v>
      </c>
      <c r="O238" s="52">
        <v>15.37</v>
      </c>
      <c r="P238" s="52">
        <v>1.75</v>
      </c>
      <c r="Q238" s="52">
        <v>0.33</v>
      </c>
      <c r="R238" s="52">
        <v>0.57</v>
      </c>
      <c r="S238" s="52">
        <f t="shared" si="3"/>
        <v>17.202528</v>
      </c>
      <c r="T238" s="52">
        <f t="shared" si="4"/>
        <v>28.481544</v>
      </c>
      <c r="U238" s="52">
        <f t="shared" si="5"/>
        <v>5.422536</v>
      </c>
      <c r="V238" s="52">
        <f t="shared" si="6"/>
        <v>0.6174</v>
      </c>
      <c r="W238" s="52">
        <f t="shared" si="7"/>
        <v>0.116424</v>
      </c>
      <c r="X238" s="52">
        <f t="shared" si="8"/>
        <v>0.201096</v>
      </c>
    </row>
    <row r="239" ht="15.0" customHeight="1">
      <c r="A239" s="51">
        <v>55.0</v>
      </c>
      <c r="B239" s="51" t="s">
        <v>61</v>
      </c>
      <c r="C239" s="51">
        <v>213.0</v>
      </c>
      <c r="D239" s="51" t="s">
        <v>24</v>
      </c>
      <c r="E239" s="51" t="s">
        <v>26</v>
      </c>
      <c r="F239" s="51" t="s">
        <v>299</v>
      </c>
      <c r="G239" s="51" t="s">
        <v>300</v>
      </c>
      <c r="H239" s="52">
        <v>2.1363591167285874</v>
      </c>
      <c r="I239" s="52">
        <v>2.14</v>
      </c>
      <c r="J239" s="52">
        <v>99.89</v>
      </c>
      <c r="K239" s="52">
        <f t="shared" si="57"/>
        <v>1.907414488</v>
      </c>
      <c r="L239" s="52">
        <f t="shared" si="2"/>
        <v>5.722243465</v>
      </c>
      <c r="M239" s="52">
        <v>0.0</v>
      </c>
      <c r="N239" s="52">
        <v>0.0</v>
      </c>
      <c r="O239" s="52">
        <v>0.0</v>
      </c>
      <c r="P239" s="52">
        <v>0.0</v>
      </c>
      <c r="Q239" s="52">
        <v>37.35</v>
      </c>
      <c r="R239" s="52">
        <v>0.01</v>
      </c>
      <c r="S239" s="52">
        <f t="shared" si="3"/>
        <v>0</v>
      </c>
      <c r="T239" s="52">
        <f t="shared" si="4"/>
        <v>0</v>
      </c>
      <c r="U239" s="52">
        <f t="shared" si="5"/>
        <v>0</v>
      </c>
      <c r="V239" s="52">
        <f t="shared" si="6"/>
        <v>0</v>
      </c>
      <c r="W239" s="52">
        <f t="shared" si="7"/>
        <v>0.79929</v>
      </c>
      <c r="X239" s="52">
        <f t="shared" si="8"/>
        <v>0.000214</v>
      </c>
    </row>
    <row r="240" ht="15.0" customHeight="1">
      <c r="A240" s="51">
        <v>56.0</v>
      </c>
      <c r="B240" s="51" t="s">
        <v>61</v>
      </c>
      <c r="C240" s="51">
        <v>192.0</v>
      </c>
      <c r="D240" s="51" t="s">
        <v>16</v>
      </c>
      <c r="E240" s="51" t="s">
        <v>17</v>
      </c>
      <c r="F240" s="51" t="s">
        <v>299</v>
      </c>
      <c r="G240" s="51" t="s">
        <v>300</v>
      </c>
      <c r="H240" s="52">
        <v>19.380439085489066</v>
      </c>
      <c r="I240" s="52">
        <v>19.380000000000003</v>
      </c>
      <c r="J240" s="52">
        <v>88.05</v>
      </c>
      <c r="K240" s="52">
        <f t="shared" ref="K240:K243" si="58">IF(J240&gt;0,(I240/J240)/SUMPRODUCT($I$240:$I$243/$J$240:$J$243)*100,"")</f>
        <v>19.38648677</v>
      </c>
      <c r="L240" s="52">
        <f t="shared" si="2"/>
        <v>58.1594603</v>
      </c>
      <c r="M240" s="52">
        <v>17.12</v>
      </c>
      <c r="N240" s="52">
        <v>71.35</v>
      </c>
      <c r="O240" s="52">
        <v>43.96</v>
      </c>
      <c r="P240" s="52">
        <v>3.58</v>
      </c>
      <c r="Q240" s="52">
        <v>0.19</v>
      </c>
      <c r="R240" s="52">
        <v>0.95</v>
      </c>
      <c r="S240" s="52">
        <f t="shared" si="3"/>
        <v>3.317856</v>
      </c>
      <c r="T240" s="52">
        <f t="shared" si="4"/>
        <v>13.82763</v>
      </c>
      <c r="U240" s="52">
        <f t="shared" si="5"/>
        <v>8.519448</v>
      </c>
      <c r="V240" s="52">
        <f t="shared" si="6"/>
        <v>0.693804</v>
      </c>
      <c r="W240" s="52">
        <f t="shared" si="7"/>
        <v>0.036822</v>
      </c>
      <c r="X240" s="52">
        <f t="shared" si="8"/>
        <v>0.18411</v>
      </c>
    </row>
    <row r="241" ht="15.0" customHeight="1">
      <c r="A241" s="51">
        <v>56.0</v>
      </c>
      <c r="B241" s="51" t="s">
        <v>61</v>
      </c>
      <c r="C241" s="51">
        <v>188.0</v>
      </c>
      <c r="D241" s="51" t="s">
        <v>16</v>
      </c>
      <c r="E241" s="51" t="s">
        <v>19</v>
      </c>
      <c r="F241" s="51" t="s">
        <v>299</v>
      </c>
      <c r="G241" s="51" t="s">
        <v>300</v>
      </c>
      <c r="H241" s="52">
        <v>73.66260614125665</v>
      </c>
      <c r="I241" s="52">
        <v>73.66</v>
      </c>
      <c r="J241" s="52">
        <v>87.78</v>
      </c>
      <c r="K241" s="52">
        <f t="shared" si="58"/>
        <v>73.9112996</v>
      </c>
      <c r="L241" s="52">
        <f t="shared" si="2"/>
        <v>221.7338988</v>
      </c>
      <c r="M241" s="52">
        <v>9.1</v>
      </c>
      <c r="N241" s="52">
        <v>86.03</v>
      </c>
      <c r="O241" s="52">
        <v>14.39</v>
      </c>
      <c r="P241" s="52">
        <v>4.18</v>
      </c>
      <c r="Q241" s="52">
        <v>0.03</v>
      </c>
      <c r="R241" s="52">
        <v>0.25</v>
      </c>
      <c r="S241" s="52">
        <f t="shared" si="3"/>
        <v>6.70306</v>
      </c>
      <c r="T241" s="52">
        <f t="shared" si="4"/>
        <v>63.369698</v>
      </c>
      <c r="U241" s="52">
        <f t="shared" si="5"/>
        <v>10.599674</v>
      </c>
      <c r="V241" s="52">
        <f t="shared" si="6"/>
        <v>3.078988</v>
      </c>
      <c r="W241" s="52">
        <f t="shared" si="7"/>
        <v>0.022098</v>
      </c>
      <c r="X241" s="52">
        <f t="shared" si="8"/>
        <v>0.18415</v>
      </c>
    </row>
    <row r="242" ht="15.0" customHeight="1">
      <c r="A242" s="51">
        <v>56.0</v>
      </c>
      <c r="B242" s="51" t="s">
        <v>61</v>
      </c>
      <c r="C242" s="51">
        <v>208.0</v>
      </c>
      <c r="D242" s="51" t="s">
        <v>22</v>
      </c>
      <c r="E242" s="51" t="s">
        <v>23</v>
      </c>
      <c r="F242" s="51" t="s">
        <v>299</v>
      </c>
      <c r="G242" s="51" t="s">
        <v>300</v>
      </c>
      <c r="H242" s="52">
        <v>4.961889753258865</v>
      </c>
      <c r="I242" s="52">
        <v>4.97</v>
      </c>
      <c r="J242" s="52">
        <v>88.48</v>
      </c>
      <c r="K242" s="52">
        <f t="shared" si="58"/>
        <v>4.947501965</v>
      </c>
      <c r="L242" s="52">
        <f t="shared" si="2"/>
        <v>14.8425059</v>
      </c>
      <c r="M242" s="52">
        <v>48.76</v>
      </c>
      <c r="N242" s="52">
        <v>80.73</v>
      </c>
      <c r="O242" s="52">
        <v>15.37</v>
      </c>
      <c r="P242" s="52">
        <v>1.75</v>
      </c>
      <c r="Q242" s="52">
        <v>0.33</v>
      </c>
      <c r="R242" s="52">
        <v>0.57</v>
      </c>
      <c r="S242" s="52">
        <f t="shared" si="3"/>
        <v>2.423372</v>
      </c>
      <c r="T242" s="52">
        <f t="shared" si="4"/>
        <v>4.012281</v>
      </c>
      <c r="U242" s="52">
        <f t="shared" si="5"/>
        <v>0.763889</v>
      </c>
      <c r="V242" s="52">
        <f t="shared" si="6"/>
        <v>0.086975</v>
      </c>
      <c r="W242" s="52">
        <f t="shared" si="7"/>
        <v>0.016401</v>
      </c>
      <c r="X242" s="52">
        <f t="shared" si="8"/>
        <v>0.028329</v>
      </c>
    </row>
    <row r="243" ht="15.0" customHeight="1">
      <c r="A243" s="51">
        <v>56.0</v>
      </c>
      <c r="B243" s="51" t="s">
        <v>61</v>
      </c>
      <c r="C243" s="51">
        <v>213.0</v>
      </c>
      <c r="D243" s="51" t="s">
        <v>24</v>
      </c>
      <c r="E243" s="51" t="s">
        <v>26</v>
      </c>
      <c r="F243" s="51" t="s">
        <v>299</v>
      </c>
      <c r="G243" s="51" t="s">
        <v>300</v>
      </c>
      <c r="H243" s="52">
        <v>1.9950650199954234</v>
      </c>
      <c r="I243" s="52">
        <v>1.9900000000000004</v>
      </c>
      <c r="J243" s="52">
        <v>99.89</v>
      </c>
      <c r="K243" s="52">
        <f t="shared" si="58"/>
        <v>1.754711668</v>
      </c>
      <c r="L243" s="52">
        <f t="shared" si="2"/>
        <v>5.264135004</v>
      </c>
      <c r="M243" s="52">
        <v>0.0</v>
      </c>
      <c r="N243" s="52">
        <v>0.0</v>
      </c>
      <c r="O243" s="52">
        <v>0.0</v>
      </c>
      <c r="P243" s="52">
        <v>0.0</v>
      </c>
      <c r="Q243" s="52">
        <v>37.35</v>
      </c>
      <c r="R243" s="52">
        <v>0.01</v>
      </c>
      <c r="S243" s="52">
        <f t="shared" si="3"/>
        <v>0</v>
      </c>
      <c r="T243" s="52">
        <f t="shared" si="4"/>
        <v>0</v>
      </c>
      <c r="U243" s="52">
        <f t="shared" si="5"/>
        <v>0</v>
      </c>
      <c r="V243" s="52">
        <f t="shared" si="6"/>
        <v>0</v>
      </c>
      <c r="W243" s="52">
        <f t="shared" si="7"/>
        <v>0.743265</v>
      </c>
      <c r="X243" s="52">
        <f t="shared" si="8"/>
        <v>0.000199</v>
      </c>
    </row>
    <row r="244" ht="15.0" customHeight="1">
      <c r="A244" s="51">
        <v>57.0</v>
      </c>
      <c r="B244" s="51" t="s">
        <v>61</v>
      </c>
      <c r="C244" s="51">
        <v>188.0</v>
      </c>
      <c r="D244" s="51" t="s">
        <v>16</v>
      </c>
      <c r="E244" s="51" t="s">
        <v>19</v>
      </c>
      <c r="F244" s="51" t="s">
        <v>299</v>
      </c>
      <c r="G244" s="51" t="s">
        <v>300</v>
      </c>
      <c r="H244" s="52">
        <v>47.94799444759117</v>
      </c>
      <c r="I244" s="52">
        <v>47.95</v>
      </c>
      <c r="J244" s="52">
        <v>87.78</v>
      </c>
      <c r="K244" s="52">
        <f t="shared" ref="K244:K247" si="59">IF(J244&gt;0,(I244/J244)/SUMPRODUCT($I$244:$I$247/$J$244:$J$247)*100,"")</f>
        <v>48.76651205</v>
      </c>
      <c r="L244" s="52">
        <f t="shared" si="2"/>
        <v>146.2995362</v>
      </c>
      <c r="M244" s="52">
        <v>9.1</v>
      </c>
      <c r="N244" s="52">
        <v>86.03</v>
      </c>
      <c r="O244" s="52">
        <v>14.39</v>
      </c>
      <c r="P244" s="52">
        <v>4.18</v>
      </c>
      <c r="Q244" s="52">
        <v>0.03</v>
      </c>
      <c r="R244" s="52">
        <v>0.25</v>
      </c>
      <c r="S244" s="52">
        <f t="shared" si="3"/>
        <v>4.36345</v>
      </c>
      <c r="T244" s="52">
        <f t="shared" si="4"/>
        <v>41.251385</v>
      </c>
      <c r="U244" s="52">
        <f t="shared" si="5"/>
        <v>6.900005</v>
      </c>
      <c r="V244" s="52">
        <f t="shared" si="6"/>
        <v>2.00431</v>
      </c>
      <c r="W244" s="52">
        <f t="shared" si="7"/>
        <v>0.014385</v>
      </c>
      <c r="X244" s="52">
        <f t="shared" si="8"/>
        <v>0.119875</v>
      </c>
    </row>
    <row r="245" ht="15.0" customHeight="1">
      <c r="A245" s="51">
        <v>57.0</v>
      </c>
      <c r="B245" s="51" t="s">
        <v>61</v>
      </c>
      <c r="C245" s="51">
        <v>173.0</v>
      </c>
      <c r="D245" s="51" t="s">
        <v>16</v>
      </c>
      <c r="E245" s="51" t="s">
        <v>52</v>
      </c>
      <c r="F245" s="51" t="s">
        <v>299</v>
      </c>
      <c r="G245" s="51" t="s">
        <v>300</v>
      </c>
      <c r="H245" s="52">
        <v>48.06914575853517</v>
      </c>
      <c r="I245" s="52">
        <v>48.07</v>
      </c>
      <c r="J245" s="52">
        <v>90.57</v>
      </c>
      <c r="K245" s="52">
        <f t="shared" si="59"/>
        <v>47.38254829</v>
      </c>
      <c r="L245" s="52">
        <f t="shared" si="2"/>
        <v>142.1476449</v>
      </c>
      <c r="M245" s="52">
        <v>14.21</v>
      </c>
      <c r="N245" s="52">
        <v>75.24</v>
      </c>
      <c r="O245" s="52">
        <v>27.69</v>
      </c>
      <c r="P245" s="52">
        <v>5.13</v>
      </c>
      <c r="Q245" s="52">
        <v>0.13</v>
      </c>
      <c r="R245" s="52">
        <v>0.35</v>
      </c>
      <c r="S245" s="52">
        <f t="shared" si="3"/>
        <v>6.830747</v>
      </c>
      <c r="T245" s="52">
        <f t="shared" si="4"/>
        <v>36.167868</v>
      </c>
      <c r="U245" s="52">
        <f t="shared" si="5"/>
        <v>13.310583</v>
      </c>
      <c r="V245" s="52">
        <f t="shared" si="6"/>
        <v>2.465991</v>
      </c>
      <c r="W245" s="52">
        <f t="shared" si="7"/>
        <v>0.062491</v>
      </c>
      <c r="X245" s="52">
        <f t="shared" si="8"/>
        <v>0.168245</v>
      </c>
    </row>
    <row r="246" ht="15.0" customHeight="1">
      <c r="A246" s="51">
        <v>57.0</v>
      </c>
      <c r="B246" s="51" t="s">
        <v>61</v>
      </c>
      <c r="C246" s="51">
        <v>208.0</v>
      </c>
      <c r="D246" s="51" t="s">
        <v>22</v>
      </c>
      <c r="E246" s="51" t="s">
        <v>23</v>
      </c>
      <c r="F246" s="51" t="s">
        <v>299</v>
      </c>
      <c r="G246" s="51" t="s">
        <v>300</v>
      </c>
      <c r="H246" s="52">
        <v>2.5569168723553375</v>
      </c>
      <c r="I246" s="52">
        <v>2.55</v>
      </c>
      <c r="J246" s="52">
        <v>88.48</v>
      </c>
      <c r="K246" s="52">
        <f t="shared" si="59"/>
        <v>2.572904852</v>
      </c>
      <c r="L246" s="52">
        <f t="shared" si="2"/>
        <v>7.718714555</v>
      </c>
      <c r="M246" s="52">
        <v>48.76</v>
      </c>
      <c r="N246" s="52">
        <v>80.73</v>
      </c>
      <c r="O246" s="52">
        <v>15.37</v>
      </c>
      <c r="P246" s="52">
        <v>1.75</v>
      </c>
      <c r="Q246" s="52">
        <v>0.33</v>
      </c>
      <c r="R246" s="52">
        <v>0.57</v>
      </c>
      <c r="S246" s="52">
        <f t="shared" si="3"/>
        <v>1.24338</v>
      </c>
      <c r="T246" s="52">
        <f t="shared" si="4"/>
        <v>2.058615</v>
      </c>
      <c r="U246" s="52">
        <f t="shared" si="5"/>
        <v>0.391935</v>
      </c>
      <c r="V246" s="52">
        <f t="shared" si="6"/>
        <v>0.044625</v>
      </c>
      <c r="W246" s="52">
        <f t="shared" si="7"/>
        <v>0.008415</v>
      </c>
      <c r="X246" s="52">
        <f t="shared" si="8"/>
        <v>0.014535</v>
      </c>
    </row>
    <row r="247" ht="15.0" customHeight="1">
      <c r="A247" s="51">
        <v>57.0</v>
      </c>
      <c r="B247" s="51" t="s">
        <v>61</v>
      </c>
      <c r="C247" s="51">
        <v>213.0</v>
      </c>
      <c r="D247" s="51" t="s">
        <v>24</v>
      </c>
      <c r="E247" s="51" t="s">
        <v>26</v>
      </c>
      <c r="F247" s="51" t="s">
        <v>299</v>
      </c>
      <c r="G247" s="51" t="s">
        <v>300</v>
      </c>
      <c r="H247" s="52">
        <v>1.425942921518322</v>
      </c>
      <c r="I247" s="52">
        <v>1.43</v>
      </c>
      <c r="J247" s="52">
        <v>99.89</v>
      </c>
      <c r="K247" s="52">
        <f t="shared" si="59"/>
        <v>1.278034813</v>
      </c>
      <c r="L247" s="52">
        <f t="shared" si="2"/>
        <v>3.834104438</v>
      </c>
      <c r="M247" s="52">
        <v>0.0</v>
      </c>
      <c r="N247" s="52">
        <v>0.0</v>
      </c>
      <c r="O247" s="52">
        <v>0.0</v>
      </c>
      <c r="P247" s="52">
        <v>0.0</v>
      </c>
      <c r="Q247" s="52">
        <v>37.35</v>
      </c>
      <c r="R247" s="52">
        <v>0.01</v>
      </c>
      <c r="S247" s="52">
        <f t="shared" si="3"/>
        <v>0</v>
      </c>
      <c r="T247" s="52">
        <f t="shared" si="4"/>
        <v>0</v>
      </c>
      <c r="U247" s="52">
        <f t="shared" si="5"/>
        <v>0</v>
      </c>
      <c r="V247" s="52">
        <f t="shared" si="6"/>
        <v>0</v>
      </c>
      <c r="W247" s="52">
        <f t="shared" si="7"/>
        <v>0.534105</v>
      </c>
      <c r="X247" s="52">
        <f t="shared" si="8"/>
        <v>0.000143</v>
      </c>
    </row>
    <row r="248" ht="15.0" customHeight="1">
      <c r="A248" s="51">
        <v>58.0</v>
      </c>
      <c r="B248" s="51" t="s">
        <v>61</v>
      </c>
      <c r="C248" s="51">
        <v>192.0</v>
      </c>
      <c r="D248" s="51" t="s">
        <v>16</v>
      </c>
      <c r="E248" s="51" t="s">
        <v>17</v>
      </c>
      <c r="F248" s="51" t="s">
        <v>299</v>
      </c>
      <c r="G248" s="51" t="s">
        <v>300</v>
      </c>
      <c r="H248" s="52">
        <v>27.04052007063509</v>
      </c>
      <c r="I248" s="52">
        <v>27.04</v>
      </c>
      <c r="J248" s="52">
        <v>88.05</v>
      </c>
      <c r="K248" s="52">
        <f t="shared" ref="K248:K251" si="60">IF(J248&gt;0,(I248/J248)/SUMPRODUCT($I$248:$I$251/$J$248:$J$251)*100,"")</f>
        <v>27.06868384</v>
      </c>
      <c r="L248" s="52">
        <f t="shared" si="2"/>
        <v>81.20605152</v>
      </c>
      <c r="M248" s="52">
        <v>17.12</v>
      </c>
      <c r="N248" s="52">
        <v>71.35</v>
      </c>
      <c r="O248" s="52">
        <v>43.96</v>
      </c>
      <c r="P248" s="52">
        <v>3.58</v>
      </c>
      <c r="Q248" s="52">
        <v>0.19</v>
      </c>
      <c r="R248" s="52">
        <v>0.95</v>
      </c>
      <c r="S248" s="52">
        <f t="shared" si="3"/>
        <v>4.629248</v>
      </c>
      <c r="T248" s="52">
        <f t="shared" si="4"/>
        <v>19.29304</v>
      </c>
      <c r="U248" s="52">
        <f t="shared" si="5"/>
        <v>11.886784</v>
      </c>
      <c r="V248" s="52">
        <f t="shared" si="6"/>
        <v>0.968032</v>
      </c>
      <c r="W248" s="52">
        <f t="shared" si="7"/>
        <v>0.051376</v>
      </c>
      <c r="X248" s="52">
        <f t="shared" si="8"/>
        <v>0.25688</v>
      </c>
    </row>
    <row r="249" ht="15.0" customHeight="1">
      <c r="A249" s="51">
        <v>58.0</v>
      </c>
      <c r="B249" s="51" t="s">
        <v>61</v>
      </c>
      <c r="C249" s="51">
        <v>188.0</v>
      </c>
      <c r="D249" s="51" t="s">
        <v>16</v>
      </c>
      <c r="E249" s="51" t="s">
        <v>19</v>
      </c>
      <c r="F249" s="51" t="s">
        <v>299</v>
      </c>
      <c r="G249" s="51" t="s">
        <v>300</v>
      </c>
      <c r="H249" s="52">
        <v>63.27308681924645</v>
      </c>
      <c r="I249" s="52">
        <v>63.27</v>
      </c>
      <c r="J249" s="52">
        <v>87.78</v>
      </c>
      <c r="K249" s="52">
        <f t="shared" si="60"/>
        <v>63.5319332</v>
      </c>
      <c r="L249" s="52">
        <f t="shared" si="2"/>
        <v>190.5957996</v>
      </c>
      <c r="M249" s="52">
        <v>9.1</v>
      </c>
      <c r="N249" s="52">
        <v>86.03</v>
      </c>
      <c r="O249" s="52">
        <v>14.39</v>
      </c>
      <c r="P249" s="52">
        <v>4.18</v>
      </c>
      <c r="Q249" s="52">
        <v>0.03</v>
      </c>
      <c r="R249" s="52">
        <v>0.25</v>
      </c>
      <c r="S249" s="52">
        <f t="shared" si="3"/>
        <v>5.75757</v>
      </c>
      <c r="T249" s="52">
        <f t="shared" si="4"/>
        <v>54.431181</v>
      </c>
      <c r="U249" s="52">
        <f t="shared" si="5"/>
        <v>9.104553</v>
      </c>
      <c r="V249" s="52">
        <f t="shared" si="6"/>
        <v>2.644686</v>
      </c>
      <c r="W249" s="52">
        <f t="shared" si="7"/>
        <v>0.018981</v>
      </c>
      <c r="X249" s="52">
        <f t="shared" si="8"/>
        <v>0.158175</v>
      </c>
    </row>
    <row r="250" ht="15.0" customHeight="1">
      <c r="A250" s="51">
        <v>58.0</v>
      </c>
      <c r="B250" s="51" t="s">
        <v>61</v>
      </c>
      <c r="C250" s="51">
        <v>208.0</v>
      </c>
      <c r="D250" s="51" t="s">
        <v>22</v>
      </c>
      <c r="E250" s="51" t="s">
        <v>23</v>
      </c>
      <c r="F250" s="51" t="s">
        <v>299</v>
      </c>
      <c r="G250" s="51" t="s">
        <v>300</v>
      </c>
      <c r="H250" s="52">
        <v>7.450393895315517</v>
      </c>
      <c r="I250" s="52">
        <v>7.46</v>
      </c>
      <c r="J250" s="52">
        <v>88.48</v>
      </c>
      <c r="K250" s="52">
        <f t="shared" si="60"/>
        <v>7.431620536</v>
      </c>
      <c r="L250" s="52">
        <f t="shared" si="2"/>
        <v>22.29486161</v>
      </c>
      <c r="M250" s="52">
        <v>48.76</v>
      </c>
      <c r="N250" s="52">
        <v>80.73</v>
      </c>
      <c r="O250" s="52">
        <v>15.37</v>
      </c>
      <c r="P250" s="52">
        <v>1.75</v>
      </c>
      <c r="Q250" s="52">
        <v>0.33</v>
      </c>
      <c r="R250" s="52">
        <v>0.57</v>
      </c>
      <c r="S250" s="52">
        <f t="shared" si="3"/>
        <v>3.637496</v>
      </c>
      <c r="T250" s="52">
        <f t="shared" si="4"/>
        <v>6.022458</v>
      </c>
      <c r="U250" s="52">
        <f t="shared" si="5"/>
        <v>1.146602</v>
      </c>
      <c r="V250" s="52">
        <f t="shared" si="6"/>
        <v>0.13055</v>
      </c>
      <c r="W250" s="52">
        <f t="shared" si="7"/>
        <v>0.024618</v>
      </c>
      <c r="X250" s="52">
        <f t="shared" si="8"/>
        <v>0.042522</v>
      </c>
    </row>
    <row r="251" ht="15.0" customHeight="1">
      <c r="A251" s="51">
        <v>58.0</v>
      </c>
      <c r="B251" s="51" t="s">
        <v>61</v>
      </c>
      <c r="C251" s="51">
        <v>213.0</v>
      </c>
      <c r="D251" s="51" t="s">
        <v>24</v>
      </c>
      <c r="E251" s="51" t="s">
        <v>26</v>
      </c>
      <c r="F251" s="51" t="s">
        <v>299</v>
      </c>
      <c r="G251" s="51" t="s">
        <v>300</v>
      </c>
      <c r="H251" s="52">
        <v>2.235999214802948</v>
      </c>
      <c r="I251" s="52">
        <v>2.23</v>
      </c>
      <c r="J251" s="52">
        <v>99.89</v>
      </c>
      <c r="K251" s="52">
        <f t="shared" si="60"/>
        <v>1.967762422</v>
      </c>
      <c r="L251" s="52">
        <f t="shared" si="2"/>
        <v>5.903287265</v>
      </c>
      <c r="M251" s="52">
        <v>0.0</v>
      </c>
      <c r="N251" s="52">
        <v>0.0</v>
      </c>
      <c r="O251" s="52">
        <v>0.0</v>
      </c>
      <c r="P251" s="52">
        <v>0.0</v>
      </c>
      <c r="Q251" s="52">
        <v>37.35</v>
      </c>
      <c r="R251" s="52">
        <v>0.01</v>
      </c>
      <c r="S251" s="52">
        <f t="shared" si="3"/>
        <v>0</v>
      </c>
      <c r="T251" s="52">
        <f t="shared" si="4"/>
        <v>0</v>
      </c>
      <c r="U251" s="52">
        <f t="shared" si="5"/>
        <v>0</v>
      </c>
      <c r="V251" s="52">
        <f t="shared" si="6"/>
        <v>0</v>
      </c>
      <c r="W251" s="52">
        <f t="shared" si="7"/>
        <v>0.832905</v>
      </c>
      <c r="X251" s="52">
        <f t="shared" si="8"/>
        <v>0.000223</v>
      </c>
    </row>
    <row r="252" ht="15.0" customHeight="1">
      <c r="A252" s="51">
        <v>59.0</v>
      </c>
      <c r="B252" s="51" t="s">
        <v>61</v>
      </c>
      <c r="C252" s="51">
        <v>188.0</v>
      </c>
      <c r="D252" s="51" t="s">
        <v>16</v>
      </c>
      <c r="E252" s="51" t="s">
        <v>19</v>
      </c>
      <c r="F252" s="51" t="s">
        <v>299</v>
      </c>
      <c r="G252" s="51" t="s">
        <v>300</v>
      </c>
      <c r="H252" s="52">
        <v>49.199824971498174</v>
      </c>
      <c r="I252" s="52">
        <v>49.2</v>
      </c>
      <c r="J252" s="52">
        <v>87.78</v>
      </c>
      <c r="K252" s="52">
        <f t="shared" ref="K252:K255" si="61">IF(J252&gt;0,(I252/J252)/SUMPRODUCT($I$252:$I$255/$J$252:$J$255)*100,"")</f>
        <v>49.96938673</v>
      </c>
      <c r="L252" s="52">
        <f t="shared" si="2"/>
        <v>149.9081602</v>
      </c>
      <c r="M252" s="52">
        <v>9.1</v>
      </c>
      <c r="N252" s="52">
        <v>86.03</v>
      </c>
      <c r="O252" s="52">
        <v>14.39</v>
      </c>
      <c r="P252" s="52">
        <v>4.18</v>
      </c>
      <c r="Q252" s="52">
        <v>0.03</v>
      </c>
      <c r="R252" s="52">
        <v>0.25</v>
      </c>
      <c r="S252" s="52">
        <f t="shared" si="3"/>
        <v>4.4772</v>
      </c>
      <c r="T252" s="52">
        <f t="shared" si="4"/>
        <v>42.32676</v>
      </c>
      <c r="U252" s="52">
        <f t="shared" si="5"/>
        <v>7.07988</v>
      </c>
      <c r="V252" s="52">
        <f t="shared" si="6"/>
        <v>2.05656</v>
      </c>
      <c r="W252" s="52">
        <f t="shared" si="7"/>
        <v>0.01476</v>
      </c>
      <c r="X252" s="52">
        <f t="shared" si="8"/>
        <v>0.123</v>
      </c>
    </row>
    <row r="253" ht="15.0" customHeight="1">
      <c r="A253" s="51">
        <v>59.0</v>
      </c>
      <c r="B253" s="51" t="s">
        <v>61</v>
      </c>
      <c r="C253" s="51">
        <v>173.0</v>
      </c>
      <c r="D253" s="51" t="s">
        <v>16</v>
      </c>
      <c r="E253" s="51" t="s">
        <v>52</v>
      </c>
      <c r="F253" s="51" t="s">
        <v>299</v>
      </c>
      <c r="G253" s="51" t="s">
        <v>300</v>
      </c>
      <c r="H253" s="52">
        <v>41.82992689675551</v>
      </c>
      <c r="I253" s="52">
        <v>41.83</v>
      </c>
      <c r="J253" s="52">
        <v>90.57</v>
      </c>
      <c r="K253" s="52">
        <f t="shared" si="61"/>
        <v>41.17541547</v>
      </c>
      <c r="L253" s="52">
        <f t="shared" si="2"/>
        <v>123.5262464</v>
      </c>
      <c r="M253" s="52">
        <v>14.21</v>
      </c>
      <c r="N253" s="52">
        <v>75.24</v>
      </c>
      <c r="O253" s="52">
        <v>27.69</v>
      </c>
      <c r="P253" s="52">
        <v>5.13</v>
      </c>
      <c r="Q253" s="52">
        <v>0.13</v>
      </c>
      <c r="R253" s="52">
        <v>0.35</v>
      </c>
      <c r="S253" s="52">
        <f t="shared" si="3"/>
        <v>5.944043</v>
      </c>
      <c r="T253" s="52">
        <f t="shared" si="4"/>
        <v>31.472892</v>
      </c>
      <c r="U253" s="52">
        <f t="shared" si="5"/>
        <v>11.582727</v>
      </c>
      <c r="V253" s="52">
        <f t="shared" si="6"/>
        <v>2.145879</v>
      </c>
      <c r="W253" s="52">
        <f t="shared" si="7"/>
        <v>0.054379</v>
      </c>
      <c r="X253" s="52">
        <f t="shared" si="8"/>
        <v>0.146405</v>
      </c>
    </row>
    <row r="254" ht="15.0" customHeight="1">
      <c r="A254" s="51">
        <v>59.0</v>
      </c>
      <c r="B254" s="51" t="s">
        <v>61</v>
      </c>
      <c r="C254" s="51">
        <v>208.0</v>
      </c>
      <c r="D254" s="51" t="s">
        <v>22</v>
      </c>
      <c r="E254" s="51" t="s">
        <v>23</v>
      </c>
      <c r="F254" s="51" t="s">
        <v>299</v>
      </c>
      <c r="G254" s="51" t="s">
        <v>300</v>
      </c>
      <c r="H254" s="52">
        <v>7.38060565128119</v>
      </c>
      <c r="I254" s="52">
        <v>7.380000000000001</v>
      </c>
      <c r="J254" s="52">
        <v>88.48</v>
      </c>
      <c r="K254" s="52">
        <f t="shared" si="61"/>
        <v>7.436108896</v>
      </c>
      <c r="L254" s="52">
        <f t="shared" si="2"/>
        <v>22.30832669</v>
      </c>
      <c r="M254" s="52">
        <v>48.76</v>
      </c>
      <c r="N254" s="52">
        <v>80.73</v>
      </c>
      <c r="O254" s="52">
        <v>15.37</v>
      </c>
      <c r="P254" s="52">
        <v>1.75</v>
      </c>
      <c r="Q254" s="52">
        <v>0.33</v>
      </c>
      <c r="R254" s="52">
        <v>0.57</v>
      </c>
      <c r="S254" s="52">
        <f t="shared" si="3"/>
        <v>3.598488</v>
      </c>
      <c r="T254" s="52">
        <f t="shared" si="4"/>
        <v>5.957874</v>
      </c>
      <c r="U254" s="52">
        <f t="shared" si="5"/>
        <v>1.134306</v>
      </c>
      <c r="V254" s="52">
        <f t="shared" si="6"/>
        <v>0.12915</v>
      </c>
      <c r="W254" s="52">
        <f t="shared" si="7"/>
        <v>0.024354</v>
      </c>
      <c r="X254" s="52">
        <f t="shared" si="8"/>
        <v>0.042066</v>
      </c>
    </row>
    <row r="255" ht="15.0" customHeight="1">
      <c r="A255" s="51">
        <v>59.0</v>
      </c>
      <c r="B255" s="51" t="s">
        <v>61</v>
      </c>
      <c r="C255" s="51">
        <v>213.0</v>
      </c>
      <c r="D255" s="51" t="s">
        <v>24</v>
      </c>
      <c r="E255" s="51" t="s">
        <v>26</v>
      </c>
      <c r="F255" s="51" t="s">
        <v>299</v>
      </c>
      <c r="G255" s="51" t="s">
        <v>300</v>
      </c>
      <c r="H255" s="52">
        <v>1.5896424804651281</v>
      </c>
      <c r="I255" s="52">
        <v>1.59</v>
      </c>
      <c r="J255" s="52">
        <v>99.89</v>
      </c>
      <c r="K255" s="52">
        <f t="shared" si="61"/>
        <v>1.419088904</v>
      </c>
      <c r="L255" s="52">
        <f t="shared" si="2"/>
        <v>4.257266713</v>
      </c>
      <c r="M255" s="52">
        <v>0.0</v>
      </c>
      <c r="N255" s="52">
        <v>0.0</v>
      </c>
      <c r="O255" s="52">
        <v>0.0</v>
      </c>
      <c r="P255" s="52">
        <v>0.0</v>
      </c>
      <c r="Q255" s="52">
        <v>37.35</v>
      </c>
      <c r="R255" s="52">
        <v>0.01</v>
      </c>
      <c r="S255" s="52">
        <f t="shared" si="3"/>
        <v>0</v>
      </c>
      <c r="T255" s="52">
        <f t="shared" si="4"/>
        <v>0</v>
      </c>
      <c r="U255" s="52">
        <f t="shared" si="5"/>
        <v>0</v>
      </c>
      <c r="V255" s="52">
        <f t="shared" si="6"/>
        <v>0</v>
      </c>
      <c r="W255" s="52">
        <f t="shared" si="7"/>
        <v>0.593865</v>
      </c>
      <c r="X255" s="52">
        <f t="shared" si="8"/>
        <v>0.000159</v>
      </c>
    </row>
    <row r="256" ht="15.0" customHeight="1">
      <c r="A256" s="51">
        <v>60.0</v>
      </c>
      <c r="B256" s="51" t="s">
        <v>61</v>
      </c>
      <c r="C256" s="51">
        <v>188.0</v>
      </c>
      <c r="D256" s="51" t="s">
        <v>16</v>
      </c>
      <c r="E256" s="51" t="s">
        <v>19</v>
      </c>
      <c r="F256" s="51" t="s">
        <v>299</v>
      </c>
      <c r="G256" s="51" t="s">
        <v>300</v>
      </c>
      <c r="H256" s="52">
        <v>71.88</v>
      </c>
      <c r="I256" s="52">
        <v>71.88</v>
      </c>
      <c r="J256" s="52">
        <v>87.78</v>
      </c>
      <c r="K256" s="52">
        <f t="shared" ref="K256:K263" si="62">IF(J256&gt;0,(I256/J256)/SUMPRODUCT($I$256:$I$263/$J$256:$J$263)*100,"")</f>
        <v>72.20732986</v>
      </c>
      <c r="L256" s="52">
        <f t="shared" si="2"/>
        <v>216.6219896</v>
      </c>
      <c r="M256" s="52">
        <v>9.1</v>
      </c>
      <c r="N256" s="52">
        <v>86.03</v>
      </c>
      <c r="O256" s="52">
        <v>14.39</v>
      </c>
      <c r="P256" s="52">
        <v>4.18</v>
      </c>
      <c r="Q256" s="52">
        <v>0.03</v>
      </c>
      <c r="R256" s="52">
        <v>0.25</v>
      </c>
      <c r="S256" s="52">
        <f t="shared" si="3"/>
        <v>6.54108</v>
      </c>
      <c r="T256" s="52">
        <f t="shared" si="4"/>
        <v>61.838364</v>
      </c>
      <c r="U256" s="52">
        <f t="shared" si="5"/>
        <v>10.343532</v>
      </c>
      <c r="V256" s="52">
        <f t="shared" si="6"/>
        <v>3.004584</v>
      </c>
      <c r="W256" s="52">
        <f t="shared" si="7"/>
        <v>0.021564</v>
      </c>
      <c r="X256" s="52">
        <f t="shared" si="8"/>
        <v>0.1797</v>
      </c>
    </row>
    <row r="257" ht="15.0" customHeight="1">
      <c r="A257" s="51">
        <v>60.0</v>
      </c>
      <c r="B257" s="51" t="s">
        <v>61</v>
      </c>
      <c r="C257" s="51">
        <v>173.0</v>
      </c>
      <c r="D257" s="51" t="s">
        <v>16</v>
      </c>
      <c r="E257" s="51" t="s">
        <v>52</v>
      </c>
      <c r="F257" s="51" t="s">
        <v>299</v>
      </c>
      <c r="G257" s="51" t="s">
        <v>300</v>
      </c>
      <c r="H257" s="52">
        <v>10.5</v>
      </c>
      <c r="I257" s="52">
        <v>10.5</v>
      </c>
      <c r="J257" s="52">
        <v>90.57</v>
      </c>
      <c r="K257" s="52">
        <f t="shared" si="62"/>
        <v>10.22289088</v>
      </c>
      <c r="L257" s="52">
        <f t="shared" si="2"/>
        <v>30.66867263</v>
      </c>
      <c r="M257" s="52">
        <v>14.21</v>
      </c>
      <c r="N257" s="52">
        <v>75.24</v>
      </c>
      <c r="O257" s="52">
        <v>27.69</v>
      </c>
      <c r="P257" s="52">
        <v>5.13</v>
      </c>
      <c r="Q257" s="52">
        <v>0.13</v>
      </c>
      <c r="R257" s="52">
        <v>0.35</v>
      </c>
      <c r="S257" s="52">
        <f t="shared" si="3"/>
        <v>1.49205</v>
      </c>
      <c r="T257" s="52">
        <f t="shared" si="4"/>
        <v>7.9002</v>
      </c>
      <c r="U257" s="52">
        <f t="shared" si="5"/>
        <v>2.90745</v>
      </c>
      <c r="V257" s="52">
        <f t="shared" si="6"/>
        <v>0.53865</v>
      </c>
      <c r="W257" s="52">
        <f t="shared" si="7"/>
        <v>0.01365</v>
      </c>
      <c r="X257" s="52">
        <f t="shared" si="8"/>
        <v>0.03675</v>
      </c>
    </row>
    <row r="258" ht="15.0" customHeight="1">
      <c r="A258" s="51">
        <v>60.0</v>
      </c>
      <c r="B258" s="51" t="s">
        <v>61</v>
      </c>
      <c r="C258" s="51">
        <v>191.0</v>
      </c>
      <c r="D258" s="51" t="s">
        <v>16</v>
      </c>
      <c r="E258" s="51" t="s">
        <v>271</v>
      </c>
      <c r="F258" s="51" t="s">
        <v>299</v>
      </c>
      <c r="G258" s="51" t="s">
        <v>300</v>
      </c>
      <c r="H258" s="52">
        <v>3.1300000000000003</v>
      </c>
      <c r="I258" s="52">
        <v>3.1300000000000003</v>
      </c>
      <c r="J258" s="52">
        <v>88.26</v>
      </c>
      <c r="K258" s="52">
        <f t="shared" si="62"/>
        <v>3.127153561</v>
      </c>
      <c r="L258" s="52">
        <f t="shared" si="2"/>
        <v>9.381460683</v>
      </c>
      <c r="M258" s="52">
        <v>9.7</v>
      </c>
      <c r="N258" s="52">
        <v>78.8</v>
      </c>
      <c r="O258" s="52">
        <v>17.27</v>
      </c>
      <c r="P258" s="52">
        <v>2.96</v>
      </c>
      <c r="Q258" s="52">
        <v>0.04</v>
      </c>
      <c r="R258" s="52">
        <v>0.28</v>
      </c>
      <c r="S258" s="52">
        <f t="shared" si="3"/>
        <v>0.30361</v>
      </c>
      <c r="T258" s="52">
        <f t="shared" si="4"/>
        <v>2.46644</v>
      </c>
      <c r="U258" s="52">
        <f t="shared" si="5"/>
        <v>0.540551</v>
      </c>
      <c r="V258" s="52">
        <f t="shared" si="6"/>
        <v>0.092648</v>
      </c>
      <c r="W258" s="52">
        <f t="shared" si="7"/>
        <v>0.001252</v>
      </c>
      <c r="X258" s="52">
        <f t="shared" si="8"/>
        <v>0.008764</v>
      </c>
    </row>
    <row r="259" ht="15.0" customHeight="1">
      <c r="A259" s="51">
        <v>60.0</v>
      </c>
      <c r="B259" s="51" t="s">
        <v>61</v>
      </c>
      <c r="C259" s="51">
        <v>181.0</v>
      </c>
      <c r="D259" s="51" t="s">
        <v>16</v>
      </c>
      <c r="E259" s="51" t="s">
        <v>272</v>
      </c>
      <c r="F259" s="51" t="s">
        <v>299</v>
      </c>
      <c r="G259" s="51" t="s">
        <v>300</v>
      </c>
      <c r="H259" s="52">
        <v>5.51</v>
      </c>
      <c r="I259" s="52">
        <v>5.51</v>
      </c>
      <c r="J259" s="52">
        <v>83.98</v>
      </c>
      <c r="K259" s="52">
        <f t="shared" si="62"/>
        <v>5.785548282</v>
      </c>
      <c r="L259" s="52">
        <f t="shared" si="2"/>
        <v>17.35664485</v>
      </c>
      <c r="M259" s="52">
        <v>3.3</v>
      </c>
      <c r="N259" s="52">
        <v>69.75</v>
      </c>
      <c r="O259" s="52">
        <v>6.03</v>
      </c>
      <c r="P259" s="52">
        <v>1.36</v>
      </c>
      <c r="Q259" s="52">
        <v>1.7</v>
      </c>
      <c r="R259" s="52">
        <v>0.12</v>
      </c>
      <c r="S259" s="52">
        <f t="shared" si="3"/>
        <v>0.18183</v>
      </c>
      <c r="T259" s="52">
        <f t="shared" si="4"/>
        <v>3.843225</v>
      </c>
      <c r="U259" s="52">
        <f t="shared" si="5"/>
        <v>0.332253</v>
      </c>
      <c r="V259" s="52">
        <f t="shared" si="6"/>
        <v>0.074936</v>
      </c>
      <c r="W259" s="52">
        <f t="shared" si="7"/>
        <v>0.09367</v>
      </c>
      <c r="X259" s="52">
        <f t="shared" si="8"/>
        <v>0.006612</v>
      </c>
    </row>
    <row r="260" ht="15.0" customHeight="1">
      <c r="A260" s="51">
        <v>60.0</v>
      </c>
      <c r="B260" s="51" t="s">
        <v>61</v>
      </c>
      <c r="C260" s="51">
        <v>208.0</v>
      </c>
      <c r="D260" s="51" t="s">
        <v>22</v>
      </c>
      <c r="E260" s="51" t="s">
        <v>23</v>
      </c>
      <c r="F260" s="51" t="s">
        <v>299</v>
      </c>
      <c r="G260" s="51" t="s">
        <v>300</v>
      </c>
      <c r="H260" s="52">
        <v>6.309999999999999</v>
      </c>
      <c r="I260" s="52">
        <v>6.309999999999999</v>
      </c>
      <c r="J260" s="52">
        <v>88.48</v>
      </c>
      <c r="K260" s="52">
        <f t="shared" si="62"/>
        <v>6.288586499</v>
      </c>
      <c r="L260" s="52">
        <f t="shared" si="2"/>
        <v>18.8657595</v>
      </c>
      <c r="M260" s="52">
        <v>48.76</v>
      </c>
      <c r="N260" s="52">
        <v>80.73</v>
      </c>
      <c r="O260" s="52">
        <v>15.37</v>
      </c>
      <c r="P260" s="52">
        <v>1.75</v>
      </c>
      <c r="Q260" s="52">
        <v>0.33</v>
      </c>
      <c r="R260" s="52">
        <v>0.57</v>
      </c>
      <c r="S260" s="52">
        <f t="shared" si="3"/>
        <v>3.076756</v>
      </c>
      <c r="T260" s="52">
        <f t="shared" si="4"/>
        <v>5.094063</v>
      </c>
      <c r="U260" s="52">
        <f t="shared" si="5"/>
        <v>0.969847</v>
      </c>
      <c r="V260" s="52">
        <f t="shared" si="6"/>
        <v>0.110425</v>
      </c>
      <c r="W260" s="52">
        <f t="shared" si="7"/>
        <v>0.020823</v>
      </c>
      <c r="X260" s="52">
        <f t="shared" si="8"/>
        <v>0.035967</v>
      </c>
    </row>
    <row r="261" ht="15.0" customHeight="1">
      <c r="A261" s="51">
        <v>60.0</v>
      </c>
      <c r="B261" s="51" t="s">
        <v>61</v>
      </c>
      <c r="C261" s="51">
        <v>213.0</v>
      </c>
      <c r="D261" s="51" t="s">
        <v>24</v>
      </c>
      <c r="E261" s="51" t="s">
        <v>26</v>
      </c>
      <c r="F261" s="51" t="s">
        <v>299</v>
      </c>
      <c r="G261" s="51" t="s">
        <v>300</v>
      </c>
      <c r="H261" s="52">
        <v>1.17</v>
      </c>
      <c r="I261" s="52">
        <v>1.17</v>
      </c>
      <c r="J261" s="52">
        <v>99.89</v>
      </c>
      <c r="K261" s="52">
        <f t="shared" si="62"/>
        <v>1.032839033</v>
      </c>
      <c r="L261" s="52">
        <f t="shared" si="2"/>
        <v>3.098517098</v>
      </c>
      <c r="M261" s="52">
        <v>0.0</v>
      </c>
      <c r="N261" s="52">
        <v>0.0</v>
      </c>
      <c r="O261" s="52">
        <v>0.0</v>
      </c>
      <c r="P261" s="52">
        <v>0.0</v>
      </c>
      <c r="Q261" s="52">
        <v>37.35</v>
      </c>
      <c r="R261" s="52">
        <v>0.01</v>
      </c>
      <c r="S261" s="52">
        <f t="shared" si="3"/>
        <v>0</v>
      </c>
      <c r="T261" s="52">
        <f t="shared" si="4"/>
        <v>0</v>
      </c>
      <c r="U261" s="52">
        <f t="shared" si="5"/>
        <v>0</v>
      </c>
      <c r="V261" s="52">
        <f t="shared" si="6"/>
        <v>0</v>
      </c>
      <c r="W261" s="52">
        <f t="shared" si="7"/>
        <v>0.436995</v>
      </c>
      <c r="X261" s="52">
        <f t="shared" si="8"/>
        <v>0.000117</v>
      </c>
    </row>
    <row r="262" ht="15.0" customHeight="1">
      <c r="A262" s="51">
        <v>60.0</v>
      </c>
      <c r="B262" s="51" t="s">
        <v>61</v>
      </c>
      <c r="C262" s="51">
        <v>224.0</v>
      </c>
      <c r="D262" s="51" t="s">
        <v>164</v>
      </c>
      <c r="E262" s="51" t="s">
        <v>165</v>
      </c>
      <c r="F262" s="51" t="s">
        <v>299</v>
      </c>
      <c r="G262" s="51" t="s">
        <v>300</v>
      </c>
      <c r="H262" s="52">
        <v>1.0</v>
      </c>
      <c r="I262" s="52">
        <v>1.0</v>
      </c>
      <c r="J262" s="52">
        <v>99.02</v>
      </c>
      <c r="K262" s="52">
        <f t="shared" si="62"/>
        <v>0.8905244989</v>
      </c>
      <c r="L262" s="52">
        <f t="shared" si="2"/>
        <v>2.671573497</v>
      </c>
      <c r="M262" s="52">
        <v>0.0</v>
      </c>
      <c r="N262" s="52">
        <v>0.0</v>
      </c>
      <c r="O262" s="52">
        <v>0.0</v>
      </c>
      <c r="P262" s="52">
        <v>0.0</v>
      </c>
      <c r="Q262" s="52">
        <v>0.0</v>
      </c>
      <c r="R262" s="52">
        <v>0.0</v>
      </c>
      <c r="S262" s="52">
        <f t="shared" si="3"/>
        <v>0</v>
      </c>
      <c r="T262" s="52">
        <f t="shared" si="4"/>
        <v>0</v>
      </c>
      <c r="U262" s="52">
        <f t="shared" si="5"/>
        <v>0</v>
      </c>
      <c r="V262" s="52">
        <f t="shared" si="6"/>
        <v>0</v>
      </c>
      <c r="W262" s="52">
        <f t="shared" si="7"/>
        <v>0</v>
      </c>
      <c r="X262" s="52">
        <f t="shared" si="8"/>
        <v>0</v>
      </c>
    </row>
    <row r="263" ht="15.0" customHeight="1">
      <c r="A263" s="51">
        <v>60.0</v>
      </c>
      <c r="B263" s="51" t="s">
        <v>61</v>
      </c>
      <c r="C263" s="51">
        <v>225.0</v>
      </c>
      <c r="D263" s="51" t="s">
        <v>164</v>
      </c>
      <c r="E263" s="51" t="s">
        <v>274</v>
      </c>
      <c r="F263" s="51" t="s">
        <v>299</v>
      </c>
      <c r="G263" s="51" t="s">
        <v>300</v>
      </c>
      <c r="H263" s="52">
        <v>0.5</v>
      </c>
      <c r="I263" s="52">
        <v>0.5</v>
      </c>
      <c r="J263" s="52">
        <v>99.05</v>
      </c>
      <c r="K263" s="52">
        <f t="shared" si="62"/>
        <v>0.4451273896</v>
      </c>
      <c r="L263" s="52">
        <f t="shared" si="2"/>
        <v>1.335382169</v>
      </c>
      <c r="M263" s="52">
        <v>0.0</v>
      </c>
      <c r="N263" s="52">
        <v>0.0</v>
      </c>
      <c r="O263" s="52">
        <v>0.0</v>
      </c>
      <c r="P263" s="52">
        <v>0.0</v>
      </c>
      <c r="Q263" s="52">
        <v>0.0</v>
      </c>
      <c r="R263" s="52">
        <v>0.0</v>
      </c>
      <c r="S263" s="52">
        <f t="shared" si="3"/>
        <v>0</v>
      </c>
      <c r="T263" s="52">
        <f t="shared" si="4"/>
        <v>0</v>
      </c>
      <c r="U263" s="52">
        <f t="shared" si="5"/>
        <v>0</v>
      </c>
      <c r="V263" s="52">
        <f t="shared" si="6"/>
        <v>0</v>
      </c>
      <c r="W263" s="52">
        <f t="shared" si="7"/>
        <v>0</v>
      </c>
      <c r="X263" s="52">
        <f t="shared" si="8"/>
        <v>0</v>
      </c>
    </row>
    <row r="264" ht="15.0" customHeight="1">
      <c r="A264" s="51">
        <v>61.0</v>
      </c>
      <c r="B264" s="51" t="s">
        <v>61</v>
      </c>
      <c r="C264" s="51">
        <v>188.0</v>
      </c>
      <c r="D264" s="51" t="s">
        <v>16</v>
      </c>
      <c r="E264" s="51" t="s">
        <v>19</v>
      </c>
      <c r="F264" s="51" t="s">
        <v>299</v>
      </c>
      <c r="G264" s="51" t="s">
        <v>300</v>
      </c>
      <c r="H264" s="52">
        <v>63.56</v>
      </c>
      <c r="I264" s="52">
        <v>63.56</v>
      </c>
      <c r="J264" s="52">
        <v>87.78</v>
      </c>
      <c r="K264" s="52">
        <f t="shared" ref="K264:K271" si="63">IF(J264&gt;0,(I264/J264)/SUMPRODUCT($I$264:$I$271/$J$264:$J$271)*100,"")</f>
        <v>64.07234756</v>
      </c>
      <c r="L264" s="52">
        <f t="shared" si="2"/>
        <v>192.2170427</v>
      </c>
      <c r="M264" s="52">
        <v>9.1</v>
      </c>
      <c r="N264" s="52">
        <v>86.03</v>
      </c>
      <c r="O264" s="52">
        <v>14.39</v>
      </c>
      <c r="P264" s="52">
        <v>4.18</v>
      </c>
      <c r="Q264" s="52">
        <v>0.03</v>
      </c>
      <c r="R264" s="52">
        <v>0.25</v>
      </c>
      <c r="S264" s="52">
        <f t="shared" si="3"/>
        <v>5.78396</v>
      </c>
      <c r="T264" s="52">
        <f t="shared" si="4"/>
        <v>54.680668</v>
      </c>
      <c r="U264" s="52">
        <f t="shared" si="5"/>
        <v>9.146284</v>
      </c>
      <c r="V264" s="52">
        <f t="shared" si="6"/>
        <v>2.656808</v>
      </c>
      <c r="W264" s="52">
        <f t="shared" si="7"/>
        <v>0.019068</v>
      </c>
      <c r="X264" s="52">
        <f t="shared" si="8"/>
        <v>0.1589</v>
      </c>
    </row>
    <row r="265" ht="15.0" customHeight="1">
      <c r="A265" s="51">
        <v>61.0</v>
      </c>
      <c r="B265" s="51" t="s">
        <v>61</v>
      </c>
      <c r="C265" s="51">
        <v>173.0</v>
      </c>
      <c r="D265" s="51" t="s">
        <v>16</v>
      </c>
      <c r="E265" s="51" t="s">
        <v>52</v>
      </c>
      <c r="F265" s="51" t="s">
        <v>299</v>
      </c>
      <c r="G265" s="51" t="s">
        <v>300</v>
      </c>
      <c r="H265" s="52">
        <v>20.81</v>
      </c>
      <c r="I265" s="52">
        <v>20.81</v>
      </c>
      <c r="J265" s="52">
        <v>90.57</v>
      </c>
      <c r="K265" s="52">
        <f t="shared" si="63"/>
        <v>20.33152884</v>
      </c>
      <c r="L265" s="52">
        <f t="shared" si="2"/>
        <v>60.99458653</v>
      </c>
      <c r="M265" s="52">
        <v>14.21</v>
      </c>
      <c r="N265" s="52">
        <v>75.24</v>
      </c>
      <c r="O265" s="52">
        <v>27.69</v>
      </c>
      <c r="P265" s="52">
        <v>5.13</v>
      </c>
      <c r="Q265" s="52">
        <v>0.13</v>
      </c>
      <c r="R265" s="52">
        <v>0.35</v>
      </c>
      <c r="S265" s="52">
        <f t="shared" si="3"/>
        <v>2.957101</v>
      </c>
      <c r="T265" s="52">
        <f t="shared" si="4"/>
        <v>15.657444</v>
      </c>
      <c r="U265" s="52">
        <f t="shared" si="5"/>
        <v>5.762289</v>
      </c>
      <c r="V265" s="52">
        <f t="shared" si="6"/>
        <v>1.067553</v>
      </c>
      <c r="W265" s="52">
        <f t="shared" si="7"/>
        <v>0.027053</v>
      </c>
      <c r="X265" s="52">
        <f t="shared" si="8"/>
        <v>0.072835</v>
      </c>
    </row>
    <row r="266" ht="15.0" customHeight="1">
      <c r="A266" s="51">
        <v>61.0</v>
      </c>
      <c r="B266" s="51" t="s">
        <v>61</v>
      </c>
      <c r="C266" s="51">
        <v>191.0</v>
      </c>
      <c r="D266" s="51" t="s">
        <v>16</v>
      </c>
      <c r="E266" s="51" t="s">
        <v>271</v>
      </c>
      <c r="F266" s="51" t="s">
        <v>299</v>
      </c>
      <c r="G266" s="51" t="s">
        <v>300</v>
      </c>
      <c r="H266" s="52">
        <v>3.32</v>
      </c>
      <c r="I266" s="52">
        <v>3.32</v>
      </c>
      <c r="J266" s="52">
        <v>88.26</v>
      </c>
      <c r="K266" s="52">
        <f t="shared" si="63"/>
        <v>3.32856073</v>
      </c>
      <c r="L266" s="52">
        <f t="shared" si="2"/>
        <v>9.985682189</v>
      </c>
      <c r="M266" s="52">
        <v>9.7</v>
      </c>
      <c r="N266" s="52">
        <v>78.8</v>
      </c>
      <c r="O266" s="52">
        <v>17.27</v>
      </c>
      <c r="P266" s="52">
        <v>2.96</v>
      </c>
      <c r="Q266" s="52">
        <v>0.04</v>
      </c>
      <c r="R266" s="52">
        <v>0.28</v>
      </c>
      <c r="S266" s="52">
        <f t="shared" si="3"/>
        <v>0.32204</v>
      </c>
      <c r="T266" s="52">
        <f t="shared" si="4"/>
        <v>2.61616</v>
      </c>
      <c r="U266" s="52">
        <f t="shared" si="5"/>
        <v>0.573364</v>
      </c>
      <c r="V266" s="52">
        <f t="shared" si="6"/>
        <v>0.098272</v>
      </c>
      <c r="W266" s="52">
        <f t="shared" si="7"/>
        <v>0.001328</v>
      </c>
      <c r="X266" s="52">
        <f t="shared" si="8"/>
        <v>0.009296</v>
      </c>
    </row>
    <row r="267" ht="15.0" customHeight="1">
      <c r="A267" s="51">
        <v>61.0</v>
      </c>
      <c r="B267" s="51" t="s">
        <v>61</v>
      </c>
      <c r="C267" s="51">
        <v>181.0</v>
      </c>
      <c r="D267" s="51" t="s">
        <v>16</v>
      </c>
      <c r="E267" s="51" t="s">
        <v>272</v>
      </c>
      <c r="F267" s="51" t="s">
        <v>299</v>
      </c>
      <c r="G267" s="51" t="s">
        <v>300</v>
      </c>
      <c r="H267" s="52">
        <v>4.75</v>
      </c>
      <c r="I267" s="52">
        <v>4.75</v>
      </c>
      <c r="J267" s="52">
        <v>83.98</v>
      </c>
      <c r="K267" s="52">
        <f t="shared" si="63"/>
        <v>5.004953695</v>
      </c>
      <c r="L267" s="52">
        <f t="shared" si="2"/>
        <v>15.01486108</v>
      </c>
      <c r="M267" s="52">
        <v>3.3</v>
      </c>
      <c r="N267" s="52">
        <v>69.75</v>
      </c>
      <c r="O267" s="52">
        <v>6.03</v>
      </c>
      <c r="P267" s="52">
        <v>1.36</v>
      </c>
      <c r="Q267" s="52">
        <v>1.7</v>
      </c>
      <c r="R267" s="52">
        <v>0.12</v>
      </c>
      <c r="S267" s="52">
        <f t="shared" si="3"/>
        <v>0.15675</v>
      </c>
      <c r="T267" s="52">
        <f t="shared" si="4"/>
        <v>3.313125</v>
      </c>
      <c r="U267" s="52">
        <f t="shared" si="5"/>
        <v>0.286425</v>
      </c>
      <c r="V267" s="52">
        <f t="shared" si="6"/>
        <v>0.0646</v>
      </c>
      <c r="W267" s="52">
        <f t="shared" si="7"/>
        <v>0.08075</v>
      </c>
      <c r="X267" s="52">
        <f t="shared" si="8"/>
        <v>0.0057</v>
      </c>
    </row>
    <row r="268" ht="15.0" customHeight="1">
      <c r="A268" s="51">
        <v>61.0</v>
      </c>
      <c r="B268" s="51" t="s">
        <v>61</v>
      </c>
      <c r="C268" s="51">
        <v>208.0</v>
      </c>
      <c r="D268" s="51" t="s">
        <v>22</v>
      </c>
      <c r="E268" s="51" t="s">
        <v>23</v>
      </c>
      <c r="F268" s="51" t="s">
        <v>299</v>
      </c>
      <c r="G268" s="51" t="s">
        <v>300</v>
      </c>
      <c r="H268" s="52">
        <v>4.85</v>
      </c>
      <c r="I268" s="52">
        <v>4.85</v>
      </c>
      <c r="J268" s="52">
        <v>88.48</v>
      </c>
      <c r="K268" s="52">
        <f t="shared" si="63"/>
        <v>4.850415568</v>
      </c>
      <c r="L268" s="52">
        <f t="shared" si="2"/>
        <v>14.5512467</v>
      </c>
      <c r="M268" s="52">
        <v>48.76</v>
      </c>
      <c r="N268" s="52">
        <v>80.73</v>
      </c>
      <c r="O268" s="52">
        <v>15.37</v>
      </c>
      <c r="P268" s="52">
        <v>1.75</v>
      </c>
      <c r="Q268" s="52">
        <v>0.33</v>
      </c>
      <c r="R268" s="52">
        <v>0.57</v>
      </c>
      <c r="S268" s="52">
        <f t="shared" si="3"/>
        <v>2.36486</v>
      </c>
      <c r="T268" s="52">
        <f t="shared" si="4"/>
        <v>3.915405</v>
      </c>
      <c r="U268" s="52">
        <f t="shared" si="5"/>
        <v>0.745445</v>
      </c>
      <c r="V268" s="52">
        <f t="shared" si="6"/>
        <v>0.084875</v>
      </c>
      <c r="W268" s="52">
        <f t="shared" si="7"/>
        <v>0.016005</v>
      </c>
      <c r="X268" s="52">
        <f t="shared" si="8"/>
        <v>0.027645</v>
      </c>
    </row>
    <row r="269" ht="15.0" customHeight="1">
      <c r="A269" s="51">
        <v>61.0</v>
      </c>
      <c r="B269" s="51" t="s">
        <v>61</v>
      </c>
      <c r="C269" s="51">
        <v>213.0</v>
      </c>
      <c r="D269" s="51" t="s">
        <v>24</v>
      </c>
      <c r="E269" s="51" t="s">
        <v>26</v>
      </c>
      <c r="F269" s="51" t="s">
        <v>299</v>
      </c>
      <c r="G269" s="51" t="s">
        <v>300</v>
      </c>
      <c r="H269" s="52">
        <v>1.21</v>
      </c>
      <c r="I269" s="52">
        <v>1.21</v>
      </c>
      <c r="J269" s="52">
        <v>99.89</v>
      </c>
      <c r="K269" s="52">
        <f t="shared" si="63"/>
        <v>1.071878801</v>
      </c>
      <c r="L269" s="52">
        <f t="shared" si="2"/>
        <v>3.215636402</v>
      </c>
      <c r="M269" s="52">
        <v>0.0</v>
      </c>
      <c r="N269" s="52">
        <v>0.0</v>
      </c>
      <c r="O269" s="52">
        <v>0.0</v>
      </c>
      <c r="P269" s="52">
        <v>0.0</v>
      </c>
      <c r="Q269" s="52">
        <v>37.35</v>
      </c>
      <c r="R269" s="52">
        <v>0.01</v>
      </c>
      <c r="S269" s="52">
        <f t="shared" si="3"/>
        <v>0</v>
      </c>
      <c r="T269" s="52">
        <f t="shared" si="4"/>
        <v>0</v>
      </c>
      <c r="U269" s="52">
        <f t="shared" si="5"/>
        <v>0</v>
      </c>
      <c r="V269" s="52">
        <f t="shared" si="6"/>
        <v>0</v>
      </c>
      <c r="W269" s="52">
        <f t="shared" si="7"/>
        <v>0.451935</v>
      </c>
      <c r="X269" s="52">
        <f t="shared" si="8"/>
        <v>0.000121</v>
      </c>
    </row>
    <row r="270" ht="15.0" customHeight="1">
      <c r="A270" s="51">
        <v>61.0</v>
      </c>
      <c r="B270" s="51" t="s">
        <v>61</v>
      </c>
      <c r="C270" s="51">
        <v>224.0</v>
      </c>
      <c r="D270" s="51" t="s">
        <v>164</v>
      </c>
      <c r="E270" s="51" t="s">
        <v>165</v>
      </c>
      <c r="F270" s="51" t="s">
        <v>299</v>
      </c>
      <c r="G270" s="51" t="s">
        <v>300</v>
      </c>
      <c r="H270" s="52">
        <v>1.0</v>
      </c>
      <c r="I270" s="52">
        <v>1.0</v>
      </c>
      <c r="J270" s="52">
        <v>99.02</v>
      </c>
      <c r="K270" s="52">
        <f t="shared" si="63"/>
        <v>0.8936334208</v>
      </c>
      <c r="L270" s="52">
        <f t="shared" si="2"/>
        <v>2.680900262</v>
      </c>
      <c r="M270" s="52">
        <v>0.0</v>
      </c>
      <c r="N270" s="52">
        <v>0.0</v>
      </c>
      <c r="O270" s="52">
        <v>0.0</v>
      </c>
      <c r="P270" s="52">
        <v>0.0</v>
      </c>
      <c r="Q270" s="52">
        <v>0.0</v>
      </c>
      <c r="R270" s="52">
        <v>0.0</v>
      </c>
      <c r="S270" s="52">
        <f t="shared" si="3"/>
        <v>0</v>
      </c>
      <c r="T270" s="52">
        <f t="shared" si="4"/>
        <v>0</v>
      </c>
      <c r="U270" s="52">
        <f t="shared" si="5"/>
        <v>0</v>
      </c>
      <c r="V270" s="52">
        <f t="shared" si="6"/>
        <v>0</v>
      </c>
      <c r="W270" s="52">
        <f t="shared" si="7"/>
        <v>0</v>
      </c>
      <c r="X270" s="52">
        <f t="shared" si="8"/>
        <v>0</v>
      </c>
    </row>
    <row r="271" ht="15.0" customHeight="1">
      <c r="A271" s="51">
        <v>61.0</v>
      </c>
      <c r="B271" s="51" t="s">
        <v>61</v>
      </c>
      <c r="C271" s="51">
        <v>225.0</v>
      </c>
      <c r="D271" s="51" t="s">
        <v>164</v>
      </c>
      <c r="E271" s="51" t="s">
        <v>274</v>
      </c>
      <c r="F271" s="51" t="s">
        <v>299</v>
      </c>
      <c r="G271" s="51" t="s">
        <v>300</v>
      </c>
      <c r="H271" s="52">
        <v>0.5</v>
      </c>
      <c r="I271" s="52">
        <v>0.5</v>
      </c>
      <c r="J271" s="52">
        <v>99.05</v>
      </c>
      <c r="K271" s="52">
        <f t="shared" si="63"/>
        <v>0.4466813797</v>
      </c>
      <c r="L271" s="52">
        <f t="shared" si="2"/>
        <v>1.340044139</v>
      </c>
      <c r="M271" s="52">
        <v>0.0</v>
      </c>
      <c r="N271" s="52">
        <v>0.0</v>
      </c>
      <c r="O271" s="52">
        <v>0.0</v>
      </c>
      <c r="P271" s="52">
        <v>0.0</v>
      </c>
      <c r="Q271" s="52">
        <v>0.0</v>
      </c>
      <c r="R271" s="52">
        <v>0.0</v>
      </c>
      <c r="S271" s="52">
        <f t="shared" si="3"/>
        <v>0</v>
      </c>
      <c r="T271" s="52">
        <f t="shared" si="4"/>
        <v>0</v>
      </c>
      <c r="U271" s="52">
        <f t="shared" si="5"/>
        <v>0</v>
      </c>
      <c r="V271" s="52">
        <f t="shared" si="6"/>
        <v>0</v>
      </c>
      <c r="W271" s="52">
        <f t="shared" si="7"/>
        <v>0</v>
      </c>
      <c r="X271" s="52">
        <f t="shared" si="8"/>
        <v>0</v>
      </c>
    </row>
    <row r="272" ht="15.0" customHeight="1">
      <c r="A272" s="51">
        <v>62.0</v>
      </c>
      <c r="B272" s="51" t="s">
        <v>61</v>
      </c>
      <c r="C272" s="51">
        <v>188.0</v>
      </c>
      <c r="D272" s="51" t="s">
        <v>16</v>
      </c>
      <c r="E272" s="51" t="s">
        <v>19</v>
      </c>
      <c r="F272" s="51" t="s">
        <v>299</v>
      </c>
      <c r="G272" s="51" t="s">
        <v>300</v>
      </c>
      <c r="H272" s="52">
        <v>90.48381127949571</v>
      </c>
      <c r="I272" s="52">
        <v>50.078069205265784</v>
      </c>
      <c r="J272" s="52">
        <v>87.78</v>
      </c>
      <c r="K272" s="52">
        <f t="shared" ref="K272:K279" si="64">IF(J272&gt;0,(I272/J272)/SUMPRODUCT($I$272:$I$279/$J$272:$J$279)*100,"")</f>
        <v>49.86391527</v>
      </c>
      <c r="L272" s="52">
        <f t="shared" si="2"/>
        <v>149.5917458</v>
      </c>
      <c r="M272" s="52">
        <v>9.1</v>
      </c>
      <c r="N272" s="52">
        <v>86.03</v>
      </c>
      <c r="O272" s="52">
        <v>14.39</v>
      </c>
      <c r="P272" s="52">
        <v>4.18</v>
      </c>
      <c r="Q272" s="52">
        <v>0.03</v>
      </c>
      <c r="R272" s="52">
        <v>0.25</v>
      </c>
      <c r="S272" s="52">
        <f t="shared" si="3"/>
        <v>4.557104298</v>
      </c>
      <c r="T272" s="52">
        <f t="shared" si="4"/>
        <v>43.08216294</v>
      </c>
      <c r="U272" s="52">
        <f t="shared" si="5"/>
        <v>7.206234159</v>
      </c>
      <c r="V272" s="52">
        <f t="shared" si="6"/>
        <v>2.093263293</v>
      </c>
      <c r="W272" s="52">
        <f t="shared" si="7"/>
        <v>0.01502342076</v>
      </c>
      <c r="X272" s="52">
        <f t="shared" si="8"/>
        <v>0.125195173</v>
      </c>
    </row>
    <row r="273" ht="15.0" customHeight="1">
      <c r="A273" s="51">
        <v>62.0</v>
      </c>
      <c r="B273" s="51" t="s">
        <v>61</v>
      </c>
      <c r="C273" s="51">
        <v>173.0</v>
      </c>
      <c r="D273" s="51" t="s">
        <v>16</v>
      </c>
      <c r="E273" s="51" t="s">
        <v>52</v>
      </c>
      <c r="F273" s="51" t="s">
        <v>299</v>
      </c>
      <c r="G273" s="51" t="s">
        <v>300</v>
      </c>
      <c r="H273" s="52">
        <v>0.0</v>
      </c>
      <c r="I273" s="52">
        <v>7.684147382148744</v>
      </c>
      <c r="J273" s="52">
        <v>90.57</v>
      </c>
      <c r="K273" s="52">
        <f t="shared" si="64"/>
        <v>7.415589738</v>
      </c>
      <c r="L273" s="52">
        <f t="shared" si="2"/>
        <v>22.24676921</v>
      </c>
      <c r="M273" s="52">
        <v>14.21</v>
      </c>
      <c r="N273" s="52">
        <v>75.24</v>
      </c>
      <c r="O273" s="52">
        <v>27.69</v>
      </c>
      <c r="P273" s="52">
        <v>5.13</v>
      </c>
      <c r="Q273" s="52">
        <v>0.13</v>
      </c>
      <c r="R273" s="52">
        <v>0.35</v>
      </c>
      <c r="S273" s="52">
        <f t="shared" si="3"/>
        <v>1.091917343</v>
      </c>
      <c r="T273" s="52">
        <f t="shared" si="4"/>
        <v>5.78155249</v>
      </c>
      <c r="U273" s="52">
        <f t="shared" si="5"/>
        <v>2.12774041</v>
      </c>
      <c r="V273" s="52">
        <f t="shared" si="6"/>
        <v>0.3941967607</v>
      </c>
      <c r="W273" s="52">
        <f t="shared" si="7"/>
        <v>0.009989391597</v>
      </c>
      <c r="X273" s="52">
        <f t="shared" si="8"/>
        <v>0.02689451584</v>
      </c>
    </row>
    <row r="274" ht="15.0" customHeight="1">
      <c r="A274" s="51">
        <v>62.0</v>
      </c>
      <c r="B274" s="51" t="s">
        <v>61</v>
      </c>
      <c r="C274" s="51">
        <v>191.0</v>
      </c>
      <c r="D274" s="51" t="s">
        <v>16</v>
      </c>
      <c r="E274" s="51" t="s">
        <v>271</v>
      </c>
      <c r="F274" s="51" t="s">
        <v>299</v>
      </c>
      <c r="G274" s="51" t="s">
        <v>300</v>
      </c>
      <c r="H274" s="52">
        <v>0.0</v>
      </c>
      <c r="I274" s="52">
        <v>22.666266746761522</v>
      </c>
      <c r="J274" s="52">
        <v>88.26</v>
      </c>
      <c r="K274" s="52">
        <f t="shared" si="64"/>
        <v>22.44659386</v>
      </c>
      <c r="L274" s="52">
        <f t="shared" si="2"/>
        <v>67.33978159</v>
      </c>
      <c r="M274" s="52">
        <v>9.7</v>
      </c>
      <c r="N274" s="52">
        <v>78.8</v>
      </c>
      <c r="O274" s="52">
        <v>17.27</v>
      </c>
      <c r="P274" s="52">
        <v>2.96</v>
      </c>
      <c r="Q274" s="52">
        <v>0.04</v>
      </c>
      <c r="R274" s="52">
        <v>0.28</v>
      </c>
      <c r="S274" s="52">
        <f t="shared" si="3"/>
        <v>2.198627874</v>
      </c>
      <c r="T274" s="52">
        <f t="shared" si="4"/>
        <v>17.8610182</v>
      </c>
      <c r="U274" s="52">
        <f t="shared" si="5"/>
        <v>3.914464267</v>
      </c>
      <c r="V274" s="52">
        <f t="shared" si="6"/>
        <v>0.6709214957</v>
      </c>
      <c r="W274" s="52">
        <f t="shared" si="7"/>
        <v>0.009066506699</v>
      </c>
      <c r="X274" s="52">
        <f t="shared" si="8"/>
        <v>0.06346554689</v>
      </c>
    </row>
    <row r="275" ht="15.0" customHeight="1">
      <c r="A275" s="51">
        <v>62.0</v>
      </c>
      <c r="B275" s="51" t="s">
        <v>61</v>
      </c>
      <c r="C275" s="51">
        <v>181.0</v>
      </c>
      <c r="D275" s="51" t="s">
        <v>16</v>
      </c>
      <c r="E275" s="51" t="s">
        <v>272</v>
      </c>
      <c r="F275" s="51" t="s">
        <v>299</v>
      </c>
      <c r="G275" s="51" t="s">
        <v>300</v>
      </c>
      <c r="H275" s="52">
        <v>8.686070414382243</v>
      </c>
      <c r="I275" s="52">
        <v>18.91689803001151</v>
      </c>
      <c r="J275" s="52">
        <v>83.98</v>
      </c>
      <c r="K275" s="52">
        <f t="shared" si="64"/>
        <v>19.68830955</v>
      </c>
      <c r="L275" s="52">
        <f t="shared" si="2"/>
        <v>59.06492865</v>
      </c>
      <c r="M275" s="52">
        <v>3.3</v>
      </c>
      <c r="N275" s="52">
        <v>69.75</v>
      </c>
      <c r="O275" s="52">
        <v>6.03</v>
      </c>
      <c r="P275" s="52">
        <v>1.36</v>
      </c>
      <c r="Q275" s="52">
        <v>1.7</v>
      </c>
      <c r="R275" s="52">
        <v>0.12</v>
      </c>
      <c r="S275" s="52">
        <f t="shared" si="3"/>
        <v>0.624257635</v>
      </c>
      <c r="T275" s="52">
        <f t="shared" si="4"/>
        <v>13.19453638</v>
      </c>
      <c r="U275" s="52">
        <f t="shared" si="5"/>
        <v>1.140688951</v>
      </c>
      <c r="V275" s="52">
        <f t="shared" si="6"/>
        <v>0.2572698132</v>
      </c>
      <c r="W275" s="52">
        <f t="shared" si="7"/>
        <v>0.3215872665</v>
      </c>
      <c r="X275" s="52">
        <f t="shared" si="8"/>
        <v>0.02270027764</v>
      </c>
    </row>
    <row r="276" ht="15.0" customHeight="1">
      <c r="A276" s="51">
        <v>62.0</v>
      </c>
      <c r="B276" s="51" t="s">
        <v>61</v>
      </c>
      <c r="C276" s="51">
        <v>208.0</v>
      </c>
      <c r="D276" s="51" t="s">
        <v>22</v>
      </c>
      <c r="E276" s="51" t="s">
        <v>23</v>
      </c>
      <c r="F276" s="51" t="s">
        <v>299</v>
      </c>
      <c r="G276" s="51" t="s">
        <v>300</v>
      </c>
      <c r="H276" s="52">
        <v>0.0</v>
      </c>
      <c r="I276" s="52">
        <v>0.1</v>
      </c>
      <c r="J276" s="52">
        <v>88.48</v>
      </c>
      <c r="K276" s="52">
        <f t="shared" si="64"/>
        <v>0.09878460383</v>
      </c>
      <c r="L276" s="52">
        <f t="shared" si="2"/>
        <v>0.2963538115</v>
      </c>
      <c r="M276" s="52">
        <v>48.76</v>
      </c>
      <c r="N276" s="52">
        <v>80.73</v>
      </c>
      <c r="O276" s="52">
        <v>15.37</v>
      </c>
      <c r="P276" s="52">
        <v>1.75</v>
      </c>
      <c r="Q276" s="52">
        <v>0.33</v>
      </c>
      <c r="R276" s="52">
        <v>0.57</v>
      </c>
      <c r="S276" s="52">
        <f t="shared" si="3"/>
        <v>0.04876</v>
      </c>
      <c r="T276" s="52">
        <f t="shared" si="4"/>
        <v>0.08073</v>
      </c>
      <c r="U276" s="52">
        <f t="shared" si="5"/>
        <v>0.01537</v>
      </c>
      <c r="V276" s="52">
        <f t="shared" si="6"/>
        <v>0.00175</v>
      </c>
      <c r="W276" s="52">
        <f t="shared" si="7"/>
        <v>0.00033</v>
      </c>
      <c r="X276" s="52">
        <f t="shared" si="8"/>
        <v>0.00057</v>
      </c>
    </row>
    <row r="277" ht="15.0" customHeight="1">
      <c r="A277" s="51">
        <v>62.0</v>
      </c>
      <c r="B277" s="51" t="s">
        <v>61</v>
      </c>
      <c r="C277" s="51">
        <v>213.0</v>
      </c>
      <c r="D277" s="51" t="s">
        <v>24</v>
      </c>
      <c r="E277" s="51" t="s">
        <v>26</v>
      </c>
      <c r="F277" s="51" t="s">
        <v>299</v>
      </c>
      <c r="G277" s="51" t="s">
        <v>300</v>
      </c>
      <c r="H277" s="52">
        <v>0.8301183061220411</v>
      </c>
      <c r="I277" s="52">
        <v>0.35461863581243735</v>
      </c>
      <c r="J277" s="52">
        <v>99.89</v>
      </c>
      <c r="K277" s="52">
        <f t="shared" si="64"/>
        <v>0.3102943859</v>
      </c>
      <c r="L277" s="52">
        <f t="shared" si="2"/>
        <v>0.9308831578</v>
      </c>
      <c r="M277" s="52">
        <v>0.0</v>
      </c>
      <c r="N277" s="52">
        <v>0.0</v>
      </c>
      <c r="O277" s="52">
        <v>0.0</v>
      </c>
      <c r="P277" s="52">
        <v>0.0</v>
      </c>
      <c r="Q277" s="52">
        <v>37.35</v>
      </c>
      <c r="R277" s="52">
        <v>0.01</v>
      </c>
      <c r="S277" s="52">
        <f t="shared" si="3"/>
        <v>0</v>
      </c>
      <c r="T277" s="52">
        <f t="shared" si="4"/>
        <v>0</v>
      </c>
      <c r="U277" s="52">
        <f t="shared" si="5"/>
        <v>0</v>
      </c>
      <c r="V277" s="52">
        <f t="shared" si="6"/>
        <v>0</v>
      </c>
      <c r="W277" s="52">
        <f t="shared" si="7"/>
        <v>0.1324500605</v>
      </c>
      <c r="X277" s="52">
        <f t="shared" si="8"/>
        <v>0.00003546186358</v>
      </c>
    </row>
    <row r="278" ht="15.0" customHeight="1">
      <c r="A278" s="51">
        <v>62.0</v>
      </c>
      <c r="B278" s="51" t="s">
        <v>61</v>
      </c>
      <c r="C278" s="51">
        <v>224.0</v>
      </c>
      <c r="D278" s="51" t="s">
        <v>164</v>
      </c>
      <c r="E278" s="51" t="s">
        <v>165</v>
      </c>
      <c r="F278" s="51" t="s">
        <v>299</v>
      </c>
      <c r="G278" s="51" t="s">
        <v>300</v>
      </c>
      <c r="H278" s="52">
        <v>0.0</v>
      </c>
      <c r="I278" s="52">
        <v>0.1</v>
      </c>
      <c r="J278" s="52">
        <v>99.02</v>
      </c>
      <c r="K278" s="52">
        <f t="shared" si="64"/>
        <v>0.08826966014</v>
      </c>
      <c r="L278" s="52">
        <f t="shared" si="2"/>
        <v>0.2648089804</v>
      </c>
      <c r="M278" s="52">
        <v>0.0</v>
      </c>
      <c r="N278" s="52">
        <v>0.0</v>
      </c>
      <c r="O278" s="52">
        <v>0.0</v>
      </c>
      <c r="P278" s="52">
        <v>0.0</v>
      </c>
      <c r="Q278" s="52">
        <v>0.0</v>
      </c>
      <c r="R278" s="52">
        <v>0.0</v>
      </c>
      <c r="S278" s="52">
        <f t="shared" si="3"/>
        <v>0</v>
      </c>
      <c r="T278" s="52">
        <f t="shared" si="4"/>
        <v>0</v>
      </c>
      <c r="U278" s="52">
        <f t="shared" si="5"/>
        <v>0</v>
      </c>
      <c r="V278" s="52">
        <f t="shared" si="6"/>
        <v>0</v>
      </c>
      <c r="W278" s="52">
        <f t="shared" si="7"/>
        <v>0</v>
      </c>
      <c r="X278" s="52">
        <f t="shared" si="8"/>
        <v>0</v>
      </c>
    </row>
    <row r="279" ht="15.0" customHeight="1">
      <c r="A279" s="51">
        <v>62.0</v>
      </c>
      <c r="B279" s="51" t="s">
        <v>61</v>
      </c>
      <c r="C279" s="51">
        <v>225.0</v>
      </c>
      <c r="D279" s="51" t="s">
        <v>164</v>
      </c>
      <c r="E279" s="51" t="s">
        <v>274</v>
      </c>
      <c r="F279" s="51" t="s">
        <v>299</v>
      </c>
      <c r="G279" s="51" t="s">
        <v>300</v>
      </c>
      <c r="H279" s="52">
        <v>0.0</v>
      </c>
      <c r="I279" s="52">
        <v>0.1</v>
      </c>
      <c r="J279" s="52">
        <v>99.05</v>
      </c>
      <c r="K279" s="52">
        <f t="shared" si="64"/>
        <v>0.08824292526</v>
      </c>
      <c r="L279" s="52">
        <f t="shared" si="2"/>
        <v>0.2647287758</v>
      </c>
      <c r="M279" s="52">
        <v>0.0</v>
      </c>
      <c r="N279" s="52">
        <v>0.0</v>
      </c>
      <c r="O279" s="52">
        <v>0.0</v>
      </c>
      <c r="P279" s="52">
        <v>0.0</v>
      </c>
      <c r="Q279" s="52">
        <v>0.0</v>
      </c>
      <c r="R279" s="52">
        <v>0.0</v>
      </c>
      <c r="S279" s="52">
        <f t="shared" si="3"/>
        <v>0</v>
      </c>
      <c r="T279" s="52">
        <f t="shared" si="4"/>
        <v>0</v>
      </c>
      <c r="U279" s="52">
        <f t="shared" si="5"/>
        <v>0</v>
      </c>
      <c r="V279" s="52">
        <f t="shared" si="6"/>
        <v>0</v>
      </c>
      <c r="W279" s="52">
        <f t="shared" si="7"/>
        <v>0</v>
      </c>
      <c r="X279" s="52">
        <f t="shared" si="8"/>
        <v>0</v>
      </c>
    </row>
    <row r="280" ht="15.0" customHeight="1">
      <c r="A280" s="51">
        <v>63.0</v>
      </c>
      <c r="B280" s="51" t="s">
        <v>61</v>
      </c>
      <c r="C280" s="51">
        <v>188.0</v>
      </c>
      <c r="D280" s="51" t="s">
        <v>16</v>
      </c>
      <c r="E280" s="51" t="s">
        <v>19</v>
      </c>
      <c r="F280" s="51" t="s">
        <v>299</v>
      </c>
      <c r="G280" s="51" t="s">
        <v>300</v>
      </c>
      <c r="H280" s="52">
        <v>41.9</v>
      </c>
      <c r="I280" s="52">
        <v>41.9</v>
      </c>
      <c r="J280" s="52">
        <v>87.78</v>
      </c>
      <c r="K280" s="52">
        <f t="shared" ref="K280:K287" si="65">IF(J280&gt;0,(I280/J280)/SUMPRODUCT($I$280:$I$287/$J$280:$J$287)*100,"")</f>
        <v>42.51636154</v>
      </c>
      <c r="L280" s="52">
        <f t="shared" si="2"/>
        <v>127.5490846</v>
      </c>
      <c r="M280" s="52">
        <v>9.1</v>
      </c>
      <c r="N280" s="52">
        <v>86.03</v>
      </c>
      <c r="O280" s="52">
        <v>14.39</v>
      </c>
      <c r="P280" s="52">
        <v>4.18</v>
      </c>
      <c r="Q280" s="52">
        <v>0.03</v>
      </c>
      <c r="R280" s="52">
        <v>0.25</v>
      </c>
      <c r="S280" s="52">
        <f t="shared" si="3"/>
        <v>3.8129</v>
      </c>
      <c r="T280" s="52">
        <f t="shared" si="4"/>
        <v>36.04657</v>
      </c>
      <c r="U280" s="52">
        <f t="shared" si="5"/>
        <v>6.02941</v>
      </c>
      <c r="V280" s="52">
        <f t="shared" si="6"/>
        <v>1.75142</v>
      </c>
      <c r="W280" s="52">
        <f t="shared" si="7"/>
        <v>0.01257</v>
      </c>
      <c r="X280" s="52">
        <f t="shared" si="8"/>
        <v>0.10475</v>
      </c>
    </row>
    <row r="281" ht="15.0" customHeight="1">
      <c r="A281" s="51">
        <v>63.0</v>
      </c>
      <c r="B281" s="51" t="s">
        <v>61</v>
      </c>
      <c r="C281" s="51">
        <v>173.0</v>
      </c>
      <c r="D281" s="51" t="s">
        <v>16</v>
      </c>
      <c r="E281" s="51" t="s">
        <v>52</v>
      </c>
      <c r="F281" s="51" t="s">
        <v>299</v>
      </c>
      <c r="G281" s="51" t="s">
        <v>300</v>
      </c>
      <c r="H281" s="52">
        <v>41.28</v>
      </c>
      <c r="I281" s="52">
        <v>41.28</v>
      </c>
      <c r="J281" s="52">
        <v>90.57</v>
      </c>
      <c r="K281" s="52">
        <f t="shared" si="65"/>
        <v>40.59690878</v>
      </c>
      <c r="L281" s="52">
        <f t="shared" si="2"/>
        <v>121.7907263</v>
      </c>
      <c r="M281" s="52">
        <v>14.21</v>
      </c>
      <c r="N281" s="52">
        <v>75.24</v>
      </c>
      <c r="O281" s="52">
        <v>27.69</v>
      </c>
      <c r="P281" s="52">
        <v>5.13</v>
      </c>
      <c r="Q281" s="52">
        <v>0.13</v>
      </c>
      <c r="R281" s="52">
        <v>0.35</v>
      </c>
      <c r="S281" s="52">
        <f t="shared" si="3"/>
        <v>5.865888</v>
      </c>
      <c r="T281" s="52">
        <f t="shared" si="4"/>
        <v>31.059072</v>
      </c>
      <c r="U281" s="52">
        <f t="shared" si="5"/>
        <v>11.430432</v>
      </c>
      <c r="V281" s="52">
        <f t="shared" si="6"/>
        <v>2.117664</v>
      </c>
      <c r="W281" s="52">
        <f t="shared" si="7"/>
        <v>0.053664</v>
      </c>
      <c r="X281" s="52">
        <f t="shared" si="8"/>
        <v>0.14448</v>
      </c>
    </row>
    <row r="282" ht="15.0" customHeight="1">
      <c r="A282" s="51">
        <v>63.0</v>
      </c>
      <c r="B282" s="51" t="s">
        <v>61</v>
      </c>
      <c r="C282" s="51">
        <v>191.0</v>
      </c>
      <c r="D282" s="51" t="s">
        <v>16</v>
      </c>
      <c r="E282" s="51" t="s">
        <v>271</v>
      </c>
      <c r="F282" s="51" t="s">
        <v>299</v>
      </c>
      <c r="G282" s="51" t="s">
        <v>300</v>
      </c>
      <c r="H282" s="52">
        <v>7.07</v>
      </c>
      <c r="I282" s="52">
        <v>7.07</v>
      </c>
      <c r="J282" s="52">
        <v>88.26</v>
      </c>
      <c r="K282" s="52">
        <f t="shared" si="65"/>
        <v>7.13498617</v>
      </c>
      <c r="L282" s="52">
        <f t="shared" si="2"/>
        <v>21.40495851</v>
      </c>
      <c r="M282" s="52">
        <v>9.7</v>
      </c>
      <c r="N282" s="52">
        <v>78.8</v>
      </c>
      <c r="O282" s="52">
        <v>17.27</v>
      </c>
      <c r="P282" s="52">
        <v>2.96</v>
      </c>
      <c r="Q282" s="52">
        <v>0.04</v>
      </c>
      <c r="R282" s="52">
        <v>0.28</v>
      </c>
      <c r="S282" s="52">
        <f t="shared" si="3"/>
        <v>0.68579</v>
      </c>
      <c r="T282" s="52">
        <f t="shared" si="4"/>
        <v>5.57116</v>
      </c>
      <c r="U282" s="52">
        <f t="shared" si="5"/>
        <v>1.220989</v>
      </c>
      <c r="V282" s="52">
        <f t="shared" si="6"/>
        <v>0.209272</v>
      </c>
      <c r="W282" s="52">
        <f t="shared" si="7"/>
        <v>0.002828</v>
      </c>
      <c r="X282" s="52">
        <f t="shared" si="8"/>
        <v>0.019796</v>
      </c>
    </row>
    <row r="283" ht="15.0" customHeight="1">
      <c r="A283" s="51">
        <v>63.0</v>
      </c>
      <c r="B283" s="51" t="s">
        <v>61</v>
      </c>
      <c r="C283" s="51">
        <v>181.0</v>
      </c>
      <c r="D283" s="51" t="s">
        <v>16</v>
      </c>
      <c r="E283" s="51" t="s">
        <v>272</v>
      </c>
      <c r="F283" s="51" t="s">
        <v>299</v>
      </c>
      <c r="G283" s="51" t="s">
        <v>300</v>
      </c>
      <c r="H283" s="52">
        <v>4.45</v>
      </c>
      <c r="I283" s="52">
        <v>4.45</v>
      </c>
      <c r="J283" s="52">
        <v>83.98</v>
      </c>
      <c r="K283" s="52">
        <f t="shared" si="65"/>
        <v>4.719780326</v>
      </c>
      <c r="L283" s="52">
        <f t="shared" si="2"/>
        <v>14.15934098</v>
      </c>
      <c r="M283" s="52">
        <v>3.3</v>
      </c>
      <c r="N283" s="52">
        <v>69.75</v>
      </c>
      <c r="O283" s="52">
        <v>6.03</v>
      </c>
      <c r="P283" s="52">
        <v>1.36</v>
      </c>
      <c r="Q283" s="52">
        <v>1.7</v>
      </c>
      <c r="R283" s="52">
        <v>0.12</v>
      </c>
      <c r="S283" s="52">
        <f t="shared" si="3"/>
        <v>0.14685</v>
      </c>
      <c r="T283" s="52">
        <f t="shared" si="4"/>
        <v>3.103875</v>
      </c>
      <c r="U283" s="52">
        <f t="shared" si="5"/>
        <v>0.268335</v>
      </c>
      <c r="V283" s="52">
        <f t="shared" si="6"/>
        <v>0.06052</v>
      </c>
      <c r="W283" s="52">
        <f t="shared" si="7"/>
        <v>0.07565</v>
      </c>
      <c r="X283" s="52">
        <f t="shared" si="8"/>
        <v>0.00534</v>
      </c>
    </row>
    <row r="284" ht="15.0" customHeight="1">
      <c r="A284" s="51">
        <v>63.0</v>
      </c>
      <c r="B284" s="51" t="s">
        <v>61</v>
      </c>
      <c r="C284" s="51">
        <v>208.0</v>
      </c>
      <c r="D284" s="51" t="s">
        <v>22</v>
      </c>
      <c r="E284" s="51" t="s">
        <v>23</v>
      </c>
      <c r="F284" s="51" t="s">
        <v>299</v>
      </c>
      <c r="G284" s="51" t="s">
        <v>300</v>
      </c>
      <c r="H284" s="52">
        <v>2.56</v>
      </c>
      <c r="I284" s="52">
        <v>2.56</v>
      </c>
      <c r="J284" s="52">
        <v>88.48</v>
      </c>
      <c r="K284" s="52">
        <f t="shared" si="65"/>
        <v>2.577107271</v>
      </c>
      <c r="L284" s="52">
        <f t="shared" si="2"/>
        <v>7.731321814</v>
      </c>
      <c r="M284" s="52">
        <v>48.76</v>
      </c>
      <c r="N284" s="52">
        <v>80.73</v>
      </c>
      <c r="O284" s="52">
        <v>15.37</v>
      </c>
      <c r="P284" s="52">
        <v>1.75</v>
      </c>
      <c r="Q284" s="52">
        <v>0.33</v>
      </c>
      <c r="R284" s="52">
        <v>0.57</v>
      </c>
      <c r="S284" s="52">
        <f t="shared" si="3"/>
        <v>1.248256</v>
      </c>
      <c r="T284" s="52">
        <f t="shared" si="4"/>
        <v>2.066688</v>
      </c>
      <c r="U284" s="52">
        <f t="shared" si="5"/>
        <v>0.393472</v>
      </c>
      <c r="V284" s="52">
        <f t="shared" si="6"/>
        <v>0.0448</v>
      </c>
      <c r="W284" s="52">
        <f t="shared" si="7"/>
        <v>0.008448</v>
      </c>
      <c r="X284" s="52">
        <f t="shared" si="8"/>
        <v>0.014592</v>
      </c>
    </row>
    <row r="285" ht="15.0" customHeight="1">
      <c r="A285" s="51">
        <v>63.0</v>
      </c>
      <c r="B285" s="51" t="s">
        <v>61</v>
      </c>
      <c r="C285" s="51">
        <v>213.0</v>
      </c>
      <c r="D285" s="51" t="s">
        <v>24</v>
      </c>
      <c r="E285" s="51" t="s">
        <v>26</v>
      </c>
      <c r="F285" s="51" t="s">
        <v>299</v>
      </c>
      <c r="G285" s="51" t="s">
        <v>300</v>
      </c>
      <c r="H285" s="52">
        <v>1.24</v>
      </c>
      <c r="I285" s="52">
        <v>1.24</v>
      </c>
      <c r="J285" s="52">
        <v>99.89</v>
      </c>
      <c r="K285" s="52">
        <f t="shared" si="65"/>
        <v>1.105700019</v>
      </c>
      <c r="L285" s="52">
        <f t="shared" si="2"/>
        <v>3.317100057</v>
      </c>
      <c r="M285" s="52">
        <v>0.0</v>
      </c>
      <c r="N285" s="52">
        <v>0.0</v>
      </c>
      <c r="O285" s="52">
        <v>0.0</v>
      </c>
      <c r="P285" s="52">
        <v>0.0</v>
      </c>
      <c r="Q285" s="52">
        <v>37.35</v>
      </c>
      <c r="R285" s="52">
        <v>0.01</v>
      </c>
      <c r="S285" s="52">
        <f t="shared" si="3"/>
        <v>0</v>
      </c>
      <c r="T285" s="52">
        <f t="shared" si="4"/>
        <v>0</v>
      </c>
      <c r="U285" s="52">
        <f t="shared" si="5"/>
        <v>0</v>
      </c>
      <c r="V285" s="52">
        <f t="shared" si="6"/>
        <v>0</v>
      </c>
      <c r="W285" s="52">
        <f t="shared" si="7"/>
        <v>0.46314</v>
      </c>
      <c r="X285" s="52">
        <f t="shared" si="8"/>
        <v>0.000124</v>
      </c>
    </row>
    <row r="286" ht="15.0" customHeight="1">
      <c r="A286" s="51">
        <v>63.0</v>
      </c>
      <c r="B286" s="51" t="s">
        <v>61</v>
      </c>
      <c r="C286" s="51">
        <v>224.0</v>
      </c>
      <c r="D286" s="51" t="s">
        <v>164</v>
      </c>
      <c r="E286" s="51" t="s">
        <v>165</v>
      </c>
      <c r="F286" s="51" t="s">
        <v>299</v>
      </c>
      <c r="G286" s="51" t="s">
        <v>300</v>
      </c>
      <c r="H286" s="52">
        <v>1.0</v>
      </c>
      <c r="I286" s="52">
        <v>1.0</v>
      </c>
      <c r="J286" s="52">
        <v>99.02</v>
      </c>
      <c r="K286" s="52">
        <f t="shared" si="65"/>
        <v>0.8995280758</v>
      </c>
      <c r="L286" s="52">
        <f t="shared" si="2"/>
        <v>2.698584228</v>
      </c>
      <c r="M286" s="52">
        <v>0.0</v>
      </c>
      <c r="N286" s="52">
        <v>0.0</v>
      </c>
      <c r="O286" s="52">
        <v>0.0</v>
      </c>
      <c r="P286" s="52">
        <v>0.0</v>
      </c>
      <c r="Q286" s="52">
        <v>0.0</v>
      </c>
      <c r="R286" s="52">
        <v>0.0</v>
      </c>
      <c r="S286" s="52">
        <f t="shared" si="3"/>
        <v>0</v>
      </c>
      <c r="T286" s="52">
        <f t="shared" si="4"/>
        <v>0</v>
      </c>
      <c r="U286" s="52">
        <f t="shared" si="5"/>
        <v>0</v>
      </c>
      <c r="V286" s="52">
        <f t="shared" si="6"/>
        <v>0</v>
      </c>
      <c r="W286" s="52">
        <f t="shared" si="7"/>
        <v>0</v>
      </c>
      <c r="X286" s="52">
        <f t="shared" si="8"/>
        <v>0</v>
      </c>
    </row>
    <row r="287" ht="15.0" customHeight="1">
      <c r="A287" s="51">
        <v>63.0</v>
      </c>
      <c r="B287" s="51" t="s">
        <v>61</v>
      </c>
      <c r="C287" s="51">
        <v>225.0</v>
      </c>
      <c r="D287" s="51" t="s">
        <v>164</v>
      </c>
      <c r="E287" s="51" t="s">
        <v>274</v>
      </c>
      <c r="F287" s="51" t="s">
        <v>299</v>
      </c>
      <c r="G287" s="51" t="s">
        <v>300</v>
      </c>
      <c r="H287" s="52">
        <v>0.5</v>
      </c>
      <c r="I287" s="52">
        <v>0.5</v>
      </c>
      <c r="J287" s="52">
        <v>99.05</v>
      </c>
      <c r="K287" s="52">
        <f t="shared" si="65"/>
        <v>0.4496278146</v>
      </c>
      <c r="L287" s="52">
        <f t="shared" si="2"/>
        <v>1.348883444</v>
      </c>
      <c r="M287" s="52">
        <v>0.0</v>
      </c>
      <c r="N287" s="52">
        <v>0.0</v>
      </c>
      <c r="O287" s="52">
        <v>0.0</v>
      </c>
      <c r="P287" s="52">
        <v>0.0</v>
      </c>
      <c r="Q287" s="52">
        <v>0.0</v>
      </c>
      <c r="R287" s="52">
        <v>0.0</v>
      </c>
      <c r="S287" s="52">
        <f t="shared" si="3"/>
        <v>0</v>
      </c>
      <c r="T287" s="52">
        <f t="shared" si="4"/>
        <v>0</v>
      </c>
      <c r="U287" s="52">
        <f t="shared" si="5"/>
        <v>0</v>
      </c>
      <c r="V287" s="52">
        <f t="shared" si="6"/>
        <v>0</v>
      </c>
      <c r="W287" s="52">
        <f t="shared" si="7"/>
        <v>0</v>
      </c>
      <c r="X287" s="52">
        <f t="shared" si="8"/>
        <v>0</v>
      </c>
    </row>
    <row r="288" ht="15.0" customHeight="1">
      <c r="A288" s="51">
        <v>64.0</v>
      </c>
      <c r="B288" s="51" t="s">
        <v>61</v>
      </c>
      <c r="C288" s="51">
        <v>188.0</v>
      </c>
      <c r="D288" s="51" t="s">
        <v>16</v>
      </c>
      <c r="E288" s="51" t="s">
        <v>19</v>
      </c>
      <c r="F288" s="51" t="s">
        <v>299</v>
      </c>
      <c r="G288" s="51" t="s">
        <v>300</v>
      </c>
      <c r="H288" s="52">
        <v>71.28999999999999</v>
      </c>
      <c r="I288" s="52">
        <v>71.28999999999999</v>
      </c>
      <c r="J288" s="52">
        <v>87.78</v>
      </c>
      <c r="K288" s="52">
        <f t="shared" ref="K288:K295" si="66">IF(J288&gt;0,(I288/J288)/SUMPRODUCT($I$288:$I$295/$J$288:$J$295)*100,"")</f>
        <v>71.76715633</v>
      </c>
      <c r="L288" s="52">
        <f t="shared" si="2"/>
        <v>215.301469</v>
      </c>
      <c r="M288" s="52">
        <v>9.1</v>
      </c>
      <c r="N288" s="52">
        <v>86.03</v>
      </c>
      <c r="O288" s="52">
        <v>14.39</v>
      </c>
      <c r="P288" s="52">
        <v>4.18</v>
      </c>
      <c r="Q288" s="52">
        <v>0.03</v>
      </c>
      <c r="R288" s="52">
        <v>0.25</v>
      </c>
      <c r="S288" s="52">
        <f t="shared" si="3"/>
        <v>6.48739</v>
      </c>
      <c r="T288" s="52">
        <f t="shared" si="4"/>
        <v>61.330787</v>
      </c>
      <c r="U288" s="52">
        <f t="shared" si="5"/>
        <v>10.258631</v>
      </c>
      <c r="V288" s="52">
        <f t="shared" si="6"/>
        <v>2.979922</v>
      </c>
      <c r="W288" s="52">
        <f t="shared" si="7"/>
        <v>0.021387</v>
      </c>
      <c r="X288" s="52">
        <f t="shared" si="8"/>
        <v>0.178225</v>
      </c>
    </row>
    <row r="289" ht="15.0" customHeight="1">
      <c r="A289" s="51">
        <v>64.0</v>
      </c>
      <c r="B289" s="51" t="s">
        <v>61</v>
      </c>
      <c r="C289" s="51">
        <v>173.0</v>
      </c>
      <c r="D289" s="51" t="s">
        <v>16</v>
      </c>
      <c r="E289" s="51" t="s">
        <v>52</v>
      </c>
      <c r="F289" s="51" t="s">
        <v>299</v>
      </c>
      <c r="G289" s="51" t="s">
        <v>300</v>
      </c>
      <c r="H289" s="52">
        <v>12.079999999999998</v>
      </c>
      <c r="I289" s="52">
        <v>12.079999999999998</v>
      </c>
      <c r="J289" s="52">
        <v>90.57</v>
      </c>
      <c r="K289" s="52">
        <f t="shared" si="66"/>
        <v>11.78623963</v>
      </c>
      <c r="L289" s="52">
        <f t="shared" si="2"/>
        <v>35.35871889</v>
      </c>
      <c r="M289" s="52">
        <v>14.21</v>
      </c>
      <c r="N289" s="52">
        <v>75.24</v>
      </c>
      <c r="O289" s="52">
        <v>27.69</v>
      </c>
      <c r="P289" s="52">
        <v>5.13</v>
      </c>
      <c r="Q289" s="52">
        <v>0.13</v>
      </c>
      <c r="R289" s="52">
        <v>0.35</v>
      </c>
      <c r="S289" s="52">
        <f t="shared" si="3"/>
        <v>1.716568</v>
      </c>
      <c r="T289" s="52">
        <f t="shared" si="4"/>
        <v>9.088992</v>
      </c>
      <c r="U289" s="52">
        <f t="shared" si="5"/>
        <v>3.344952</v>
      </c>
      <c r="V289" s="52">
        <f t="shared" si="6"/>
        <v>0.619704</v>
      </c>
      <c r="W289" s="52">
        <f t="shared" si="7"/>
        <v>0.015704</v>
      </c>
      <c r="X289" s="52">
        <f t="shared" si="8"/>
        <v>0.04228</v>
      </c>
    </row>
    <row r="290" ht="15.0" customHeight="1">
      <c r="A290" s="51">
        <v>64.0</v>
      </c>
      <c r="B290" s="51" t="s">
        <v>61</v>
      </c>
      <c r="C290" s="51">
        <v>191.0</v>
      </c>
      <c r="D290" s="51" t="s">
        <v>16</v>
      </c>
      <c r="E290" s="51" t="s">
        <v>271</v>
      </c>
      <c r="F290" s="51" t="s">
        <v>299</v>
      </c>
      <c r="G290" s="51" t="s">
        <v>300</v>
      </c>
      <c r="H290" s="52">
        <v>5.429999999999999</v>
      </c>
      <c r="I290" s="52">
        <v>5.429999999999999</v>
      </c>
      <c r="J290" s="52">
        <v>88.26</v>
      </c>
      <c r="K290" s="52">
        <f t="shared" si="66"/>
        <v>5.436615345</v>
      </c>
      <c r="L290" s="52">
        <f t="shared" si="2"/>
        <v>16.30984603</v>
      </c>
      <c r="M290" s="52">
        <v>9.7</v>
      </c>
      <c r="N290" s="52">
        <v>78.8</v>
      </c>
      <c r="O290" s="52">
        <v>17.27</v>
      </c>
      <c r="P290" s="52">
        <v>2.96</v>
      </c>
      <c r="Q290" s="52">
        <v>0.04</v>
      </c>
      <c r="R290" s="52">
        <v>0.28</v>
      </c>
      <c r="S290" s="52">
        <f t="shared" si="3"/>
        <v>0.52671</v>
      </c>
      <c r="T290" s="52">
        <f t="shared" si="4"/>
        <v>4.27884</v>
      </c>
      <c r="U290" s="52">
        <f t="shared" si="5"/>
        <v>0.937761</v>
      </c>
      <c r="V290" s="52">
        <f t="shared" si="6"/>
        <v>0.160728</v>
      </c>
      <c r="W290" s="52">
        <f t="shared" si="7"/>
        <v>0.002172</v>
      </c>
      <c r="X290" s="52">
        <f t="shared" si="8"/>
        <v>0.015204</v>
      </c>
    </row>
    <row r="291" ht="15.0" customHeight="1">
      <c r="A291" s="51">
        <v>64.0</v>
      </c>
      <c r="B291" s="51" t="s">
        <v>61</v>
      </c>
      <c r="C291" s="51">
        <v>181.0</v>
      </c>
      <c r="D291" s="51" t="s">
        <v>16</v>
      </c>
      <c r="E291" s="51" t="s">
        <v>272</v>
      </c>
      <c r="F291" s="51" t="s">
        <v>299</v>
      </c>
      <c r="G291" s="51" t="s">
        <v>300</v>
      </c>
      <c r="H291" s="52">
        <v>2.8099999999999996</v>
      </c>
      <c r="I291" s="52">
        <v>2.8099999999999996</v>
      </c>
      <c r="J291" s="52">
        <v>83.98</v>
      </c>
      <c r="K291" s="52">
        <f t="shared" si="66"/>
        <v>2.956808171</v>
      </c>
      <c r="L291" s="52">
        <f t="shared" si="2"/>
        <v>8.870424513</v>
      </c>
      <c r="M291" s="52">
        <v>3.3</v>
      </c>
      <c r="N291" s="52">
        <v>69.75</v>
      </c>
      <c r="O291" s="52">
        <v>6.03</v>
      </c>
      <c r="P291" s="52">
        <v>1.36</v>
      </c>
      <c r="Q291" s="52">
        <v>1.7</v>
      </c>
      <c r="R291" s="52">
        <v>0.12</v>
      </c>
      <c r="S291" s="52">
        <f t="shared" si="3"/>
        <v>0.09273</v>
      </c>
      <c r="T291" s="52">
        <f t="shared" si="4"/>
        <v>1.959975</v>
      </c>
      <c r="U291" s="52">
        <f t="shared" si="5"/>
        <v>0.169443</v>
      </c>
      <c r="V291" s="52">
        <f t="shared" si="6"/>
        <v>0.038216</v>
      </c>
      <c r="W291" s="52">
        <f t="shared" si="7"/>
        <v>0.04777</v>
      </c>
      <c r="X291" s="52">
        <f t="shared" si="8"/>
        <v>0.003372</v>
      </c>
    </row>
    <row r="292" ht="15.0" customHeight="1">
      <c r="A292" s="51">
        <v>64.0</v>
      </c>
      <c r="B292" s="51" t="s">
        <v>61</v>
      </c>
      <c r="C292" s="51">
        <v>208.0</v>
      </c>
      <c r="D292" s="51" t="s">
        <v>22</v>
      </c>
      <c r="E292" s="51" t="s">
        <v>23</v>
      </c>
      <c r="F292" s="51" t="s">
        <v>299</v>
      </c>
      <c r="G292" s="51" t="s">
        <v>300</v>
      </c>
      <c r="H292" s="52">
        <v>5.429999999999999</v>
      </c>
      <c r="I292" s="52">
        <v>5.429999999999999</v>
      </c>
      <c r="J292" s="52">
        <v>88.48</v>
      </c>
      <c r="K292" s="52">
        <f t="shared" si="66"/>
        <v>5.42309754</v>
      </c>
      <c r="L292" s="52">
        <f t="shared" si="2"/>
        <v>16.26929262</v>
      </c>
      <c r="M292" s="52">
        <v>48.76</v>
      </c>
      <c r="N292" s="52">
        <v>80.73</v>
      </c>
      <c r="O292" s="52">
        <v>15.37</v>
      </c>
      <c r="P292" s="52">
        <v>1.75</v>
      </c>
      <c r="Q292" s="52">
        <v>0.33</v>
      </c>
      <c r="R292" s="52">
        <v>0.57</v>
      </c>
      <c r="S292" s="52">
        <f t="shared" si="3"/>
        <v>2.647668</v>
      </c>
      <c r="T292" s="52">
        <f t="shared" si="4"/>
        <v>4.383639</v>
      </c>
      <c r="U292" s="52">
        <f t="shared" si="5"/>
        <v>0.834591</v>
      </c>
      <c r="V292" s="52">
        <f t="shared" si="6"/>
        <v>0.095025</v>
      </c>
      <c r="W292" s="52">
        <f t="shared" si="7"/>
        <v>0.017919</v>
      </c>
      <c r="X292" s="52">
        <f t="shared" si="8"/>
        <v>0.030951</v>
      </c>
    </row>
    <row r="293" ht="15.0" customHeight="1">
      <c r="A293" s="51">
        <v>64.0</v>
      </c>
      <c r="B293" s="51" t="s">
        <v>61</v>
      </c>
      <c r="C293" s="51">
        <v>213.0</v>
      </c>
      <c r="D293" s="51" t="s">
        <v>24</v>
      </c>
      <c r="E293" s="51" t="s">
        <v>26</v>
      </c>
      <c r="F293" s="51" t="s">
        <v>299</v>
      </c>
      <c r="G293" s="51" t="s">
        <v>300</v>
      </c>
      <c r="H293" s="52">
        <v>1.4599999999999997</v>
      </c>
      <c r="I293" s="52">
        <v>1.4599999999999997</v>
      </c>
      <c r="J293" s="52">
        <v>99.89</v>
      </c>
      <c r="K293" s="52">
        <f t="shared" si="66"/>
        <v>1.291586636</v>
      </c>
      <c r="L293" s="52">
        <f t="shared" si="2"/>
        <v>3.874759908</v>
      </c>
      <c r="M293" s="52">
        <v>0.0</v>
      </c>
      <c r="N293" s="52">
        <v>0.0</v>
      </c>
      <c r="O293" s="52">
        <v>0.0</v>
      </c>
      <c r="P293" s="52">
        <v>0.0</v>
      </c>
      <c r="Q293" s="52">
        <v>37.35</v>
      </c>
      <c r="R293" s="52">
        <v>0.01</v>
      </c>
      <c r="S293" s="52">
        <f t="shared" si="3"/>
        <v>0</v>
      </c>
      <c r="T293" s="52">
        <f t="shared" si="4"/>
        <v>0</v>
      </c>
      <c r="U293" s="52">
        <f t="shared" si="5"/>
        <v>0</v>
      </c>
      <c r="V293" s="52">
        <f t="shared" si="6"/>
        <v>0</v>
      </c>
      <c r="W293" s="52">
        <f t="shared" si="7"/>
        <v>0.54531</v>
      </c>
      <c r="X293" s="52">
        <f t="shared" si="8"/>
        <v>0.000146</v>
      </c>
    </row>
    <row r="294" ht="15.0" customHeight="1">
      <c r="A294" s="51">
        <v>64.0</v>
      </c>
      <c r="B294" s="51" t="s">
        <v>61</v>
      </c>
      <c r="C294" s="51">
        <v>224.0</v>
      </c>
      <c r="D294" s="51" t="s">
        <v>164</v>
      </c>
      <c r="E294" s="51" t="s">
        <v>165</v>
      </c>
      <c r="F294" s="51" t="s">
        <v>299</v>
      </c>
      <c r="G294" s="51" t="s">
        <v>300</v>
      </c>
      <c r="H294" s="52">
        <v>1.0</v>
      </c>
      <c r="I294" s="52">
        <v>1.0</v>
      </c>
      <c r="J294" s="52">
        <v>99.02</v>
      </c>
      <c r="K294" s="52">
        <f t="shared" si="66"/>
        <v>0.8924209934</v>
      </c>
      <c r="L294" s="52">
        <f t="shared" si="2"/>
        <v>2.67726298</v>
      </c>
      <c r="M294" s="52">
        <v>0.0</v>
      </c>
      <c r="N294" s="52">
        <v>0.0</v>
      </c>
      <c r="O294" s="52">
        <v>0.0</v>
      </c>
      <c r="P294" s="52">
        <v>0.0</v>
      </c>
      <c r="Q294" s="52">
        <v>0.0</v>
      </c>
      <c r="R294" s="52">
        <v>0.0</v>
      </c>
      <c r="S294" s="52">
        <f t="shared" si="3"/>
        <v>0</v>
      </c>
      <c r="T294" s="52">
        <f t="shared" si="4"/>
        <v>0</v>
      </c>
      <c r="U294" s="52">
        <f t="shared" si="5"/>
        <v>0</v>
      </c>
      <c r="V294" s="52">
        <f t="shared" si="6"/>
        <v>0</v>
      </c>
      <c r="W294" s="52">
        <f t="shared" si="7"/>
        <v>0</v>
      </c>
      <c r="X294" s="52">
        <f t="shared" si="8"/>
        <v>0</v>
      </c>
    </row>
    <row r="295" ht="15.0" customHeight="1">
      <c r="A295" s="51">
        <v>64.0</v>
      </c>
      <c r="B295" s="51" t="s">
        <v>61</v>
      </c>
      <c r="C295" s="51">
        <v>225.0</v>
      </c>
      <c r="D295" s="51" t="s">
        <v>164</v>
      </c>
      <c r="E295" s="51" t="s">
        <v>274</v>
      </c>
      <c r="F295" s="51" t="s">
        <v>299</v>
      </c>
      <c r="G295" s="51" t="s">
        <v>300</v>
      </c>
      <c r="H295" s="52">
        <v>0.5</v>
      </c>
      <c r="I295" s="52">
        <v>0.5</v>
      </c>
      <c r="J295" s="52">
        <v>99.05</v>
      </c>
      <c r="K295" s="52">
        <f t="shared" si="66"/>
        <v>0.4460753496</v>
      </c>
      <c r="L295" s="52">
        <f t="shared" si="2"/>
        <v>1.338226049</v>
      </c>
      <c r="M295" s="52">
        <v>0.0</v>
      </c>
      <c r="N295" s="52">
        <v>0.0</v>
      </c>
      <c r="O295" s="52">
        <v>0.0</v>
      </c>
      <c r="P295" s="52">
        <v>0.0</v>
      </c>
      <c r="Q295" s="52">
        <v>0.0</v>
      </c>
      <c r="R295" s="52">
        <v>0.0</v>
      </c>
      <c r="S295" s="52">
        <f t="shared" si="3"/>
        <v>0</v>
      </c>
      <c r="T295" s="52">
        <f t="shared" si="4"/>
        <v>0</v>
      </c>
      <c r="U295" s="52">
        <f t="shared" si="5"/>
        <v>0</v>
      </c>
      <c r="V295" s="52">
        <f t="shared" si="6"/>
        <v>0</v>
      </c>
      <c r="W295" s="52">
        <f t="shared" si="7"/>
        <v>0</v>
      </c>
      <c r="X295" s="52">
        <f t="shared" si="8"/>
        <v>0</v>
      </c>
    </row>
    <row r="296" ht="15.0" customHeight="1">
      <c r="A296" s="51">
        <v>65.0</v>
      </c>
      <c r="B296" s="51" t="s">
        <v>61</v>
      </c>
      <c r="C296" s="51">
        <v>188.0</v>
      </c>
      <c r="D296" s="51" t="s">
        <v>16</v>
      </c>
      <c r="E296" s="51" t="s">
        <v>19</v>
      </c>
      <c r="F296" s="51" t="s">
        <v>299</v>
      </c>
      <c r="G296" s="51" t="s">
        <v>300</v>
      </c>
      <c r="H296" s="52">
        <v>70.39</v>
      </c>
      <c r="I296" s="52">
        <v>70.39</v>
      </c>
      <c r="J296" s="52">
        <v>87.78</v>
      </c>
      <c r="K296" s="52">
        <f t="shared" ref="K296:K303" si="67">IF(J296&gt;0,(I296/J296)/SUMPRODUCT($I$296:$I$303/$J$296:$J$303)*100,"")</f>
        <v>70.80287318</v>
      </c>
      <c r="L296" s="52">
        <f t="shared" si="2"/>
        <v>212.4086195</v>
      </c>
      <c r="M296" s="52">
        <v>9.1</v>
      </c>
      <c r="N296" s="52">
        <v>86.03</v>
      </c>
      <c r="O296" s="52">
        <v>14.39</v>
      </c>
      <c r="P296" s="52">
        <v>4.18</v>
      </c>
      <c r="Q296" s="52">
        <v>0.03</v>
      </c>
      <c r="R296" s="52">
        <v>0.25</v>
      </c>
      <c r="S296" s="52">
        <f t="shared" si="3"/>
        <v>6.40549</v>
      </c>
      <c r="T296" s="52">
        <f t="shared" si="4"/>
        <v>60.556517</v>
      </c>
      <c r="U296" s="52">
        <f t="shared" si="5"/>
        <v>10.129121</v>
      </c>
      <c r="V296" s="52">
        <f t="shared" si="6"/>
        <v>2.942302</v>
      </c>
      <c r="W296" s="52">
        <f t="shared" si="7"/>
        <v>0.021117</v>
      </c>
      <c r="X296" s="52">
        <f t="shared" si="8"/>
        <v>0.175975</v>
      </c>
    </row>
    <row r="297" ht="15.0" customHeight="1">
      <c r="A297" s="51">
        <v>65.0</v>
      </c>
      <c r="B297" s="51" t="s">
        <v>61</v>
      </c>
      <c r="C297" s="51">
        <v>173.0</v>
      </c>
      <c r="D297" s="51" t="s">
        <v>16</v>
      </c>
      <c r="E297" s="51" t="s">
        <v>52</v>
      </c>
      <c r="F297" s="51" t="s">
        <v>299</v>
      </c>
      <c r="G297" s="51" t="s">
        <v>300</v>
      </c>
      <c r="H297" s="52">
        <v>10.45</v>
      </c>
      <c r="I297" s="52">
        <v>10.45</v>
      </c>
      <c r="J297" s="52">
        <v>90.57</v>
      </c>
      <c r="K297" s="52">
        <f t="shared" si="67"/>
        <v>10.18749517</v>
      </c>
      <c r="L297" s="52">
        <f t="shared" si="2"/>
        <v>30.5624855</v>
      </c>
      <c r="M297" s="52">
        <v>14.21</v>
      </c>
      <c r="N297" s="52">
        <v>75.24</v>
      </c>
      <c r="O297" s="52">
        <v>27.69</v>
      </c>
      <c r="P297" s="52">
        <v>5.13</v>
      </c>
      <c r="Q297" s="52">
        <v>0.13</v>
      </c>
      <c r="R297" s="52">
        <v>0.35</v>
      </c>
      <c r="S297" s="52">
        <f t="shared" si="3"/>
        <v>1.484945</v>
      </c>
      <c r="T297" s="52">
        <f t="shared" si="4"/>
        <v>7.86258</v>
      </c>
      <c r="U297" s="52">
        <f t="shared" si="5"/>
        <v>2.893605</v>
      </c>
      <c r="V297" s="52">
        <f t="shared" si="6"/>
        <v>0.536085</v>
      </c>
      <c r="W297" s="52">
        <f t="shared" si="7"/>
        <v>0.013585</v>
      </c>
      <c r="X297" s="52">
        <f t="shared" si="8"/>
        <v>0.036575</v>
      </c>
    </row>
    <row r="298" ht="15.0" customHeight="1">
      <c r="A298" s="51">
        <v>65.0</v>
      </c>
      <c r="B298" s="51" t="s">
        <v>61</v>
      </c>
      <c r="C298" s="51">
        <v>191.0</v>
      </c>
      <c r="D298" s="51" t="s">
        <v>16</v>
      </c>
      <c r="E298" s="51" t="s">
        <v>271</v>
      </c>
      <c r="F298" s="51" t="s">
        <v>299</v>
      </c>
      <c r="G298" s="51" t="s">
        <v>300</v>
      </c>
      <c r="H298" s="52">
        <v>5.68</v>
      </c>
      <c r="I298" s="52">
        <v>5.68</v>
      </c>
      <c r="J298" s="52">
        <v>88.26</v>
      </c>
      <c r="K298" s="52">
        <f t="shared" si="67"/>
        <v>5.682244352</v>
      </c>
      <c r="L298" s="52">
        <f t="shared" si="2"/>
        <v>17.04673305</v>
      </c>
      <c r="M298" s="52">
        <v>9.7</v>
      </c>
      <c r="N298" s="52">
        <v>78.8</v>
      </c>
      <c r="O298" s="52">
        <v>17.27</v>
      </c>
      <c r="P298" s="52">
        <v>2.96</v>
      </c>
      <c r="Q298" s="52">
        <v>0.04</v>
      </c>
      <c r="R298" s="52">
        <v>0.28</v>
      </c>
      <c r="S298" s="52">
        <f t="shared" si="3"/>
        <v>0.55096</v>
      </c>
      <c r="T298" s="52">
        <f t="shared" si="4"/>
        <v>4.47584</v>
      </c>
      <c r="U298" s="52">
        <f t="shared" si="5"/>
        <v>0.980936</v>
      </c>
      <c r="V298" s="52">
        <f t="shared" si="6"/>
        <v>0.168128</v>
      </c>
      <c r="W298" s="52">
        <f t="shared" si="7"/>
        <v>0.002272</v>
      </c>
      <c r="X298" s="52">
        <f t="shared" si="8"/>
        <v>0.015904</v>
      </c>
    </row>
    <row r="299" ht="15.0" customHeight="1">
      <c r="A299" s="51">
        <v>65.0</v>
      </c>
      <c r="B299" s="51" t="s">
        <v>61</v>
      </c>
      <c r="C299" s="51">
        <v>181.0</v>
      </c>
      <c r="D299" s="51" t="s">
        <v>16</v>
      </c>
      <c r="E299" s="51" t="s">
        <v>272</v>
      </c>
      <c r="F299" s="51" t="s">
        <v>299</v>
      </c>
      <c r="G299" s="51" t="s">
        <v>300</v>
      </c>
      <c r="H299" s="52">
        <v>3.64</v>
      </c>
      <c r="I299" s="52">
        <v>3.64</v>
      </c>
      <c r="J299" s="52">
        <v>83.98</v>
      </c>
      <c r="K299" s="52">
        <f t="shared" si="67"/>
        <v>3.827022419</v>
      </c>
      <c r="L299" s="52">
        <f t="shared" si="2"/>
        <v>11.48106726</v>
      </c>
      <c r="M299" s="52">
        <v>3.3</v>
      </c>
      <c r="N299" s="52">
        <v>69.75</v>
      </c>
      <c r="O299" s="52">
        <v>6.03</v>
      </c>
      <c r="P299" s="52">
        <v>1.36</v>
      </c>
      <c r="Q299" s="52">
        <v>1.7</v>
      </c>
      <c r="R299" s="52">
        <v>0.12</v>
      </c>
      <c r="S299" s="52">
        <f t="shared" si="3"/>
        <v>0.12012</v>
      </c>
      <c r="T299" s="52">
        <f t="shared" si="4"/>
        <v>2.5389</v>
      </c>
      <c r="U299" s="52">
        <f t="shared" si="5"/>
        <v>0.219492</v>
      </c>
      <c r="V299" s="52">
        <f t="shared" si="6"/>
        <v>0.049504</v>
      </c>
      <c r="W299" s="52">
        <f t="shared" si="7"/>
        <v>0.06188</v>
      </c>
      <c r="X299" s="52">
        <f t="shared" si="8"/>
        <v>0.004368</v>
      </c>
    </row>
    <row r="300" ht="15.0" customHeight="1">
      <c r="A300" s="51">
        <v>65.0</v>
      </c>
      <c r="B300" s="51" t="s">
        <v>61</v>
      </c>
      <c r="C300" s="51">
        <v>208.0</v>
      </c>
      <c r="D300" s="51" t="s">
        <v>22</v>
      </c>
      <c r="E300" s="51" t="s">
        <v>23</v>
      </c>
      <c r="F300" s="51" t="s">
        <v>299</v>
      </c>
      <c r="G300" s="51" t="s">
        <v>300</v>
      </c>
      <c r="H300" s="52">
        <v>6.94</v>
      </c>
      <c r="I300" s="52">
        <v>6.94</v>
      </c>
      <c r="J300" s="52">
        <v>88.48</v>
      </c>
      <c r="K300" s="52">
        <f t="shared" si="67"/>
        <v>6.925479523</v>
      </c>
      <c r="L300" s="52">
        <f t="shared" si="2"/>
        <v>20.77643857</v>
      </c>
      <c r="M300" s="52">
        <v>48.76</v>
      </c>
      <c r="N300" s="52">
        <v>80.73</v>
      </c>
      <c r="O300" s="52">
        <v>15.37</v>
      </c>
      <c r="P300" s="52">
        <v>1.75</v>
      </c>
      <c r="Q300" s="52">
        <v>0.33</v>
      </c>
      <c r="R300" s="52">
        <v>0.57</v>
      </c>
      <c r="S300" s="52">
        <f t="shared" si="3"/>
        <v>3.383944</v>
      </c>
      <c r="T300" s="52">
        <f t="shared" si="4"/>
        <v>5.602662</v>
      </c>
      <c r="U300" s="52">
        <f t="shared" si="5"/>
        <v>1.066678</v>
      </c>
      <c r="V300" s="52">
        <f t="shared" si="6"/>
        <v>0.12145</v>
      </c>
      <c r="W300" s="52">
        <f t="shared" si="7"/>
        <v>0.022902</v>
      </c>
      <c r="X300" s="52">
        <f t="shared" si="8"/>
        <v>0.039558</v>
      </c>
    </row>
    <row r="301" ht="15.0" customHeight="1">
      <c r="A301" s="51">
        <v>65.0</v>
      </c>
      <c r="B301" s="51" t="s">
        <v>61</v>
      </c>
      <c r="C301" s="51">
        <v>213.0</v>
      </c>
      <c r="D301" s="51" t="s">
        <v>24</v>
      </c>
      <c r="E301" s="51" t="s">
        <v>26</v>
      </c>
      <c r="F301" s="51" t="s">
        <v>299</v>
      </c>
      <c r="G301" s="51" t="s">
        <v>300</v>
      </c>
      <c r="H301" s="52">
        <v>1.4</v>
      </c>
      <c r="I301" s="52">
        <v>1.4</v>
      </c>
      <c r="J301" s="52">
        <v>99.89</v>
      </c>
      <c r="K301" s="52">
        <f t="shared" si="67"/>
        <v>1.23748948</v>
      </c>
      <c r="L301" s="52">
        <f t="shared" si="2"/>
        <v>3.712468439</v>
      </c>
      <c r="M301" s="52">
        <v>0.0</v>
      </c>
      <c r="N301" s="52">
        <v>0.0</v>
      </c>
      <c r="O301" s="52">
        <v>0.0</v>
      </c>
      <c r="P301" s="52">
        <v>0.0</v>
      </c>
      <c r="Q301" s="52">
        <v>37.35</v>
      </c>
      <c r="R301" s="52">
        <v>0.01</v>
      </c>
      <c r="S301" s="52">
        <f t="shared" si="3"/>
        <v>0</v>
      </c>
      <c r="T301" s="52">
        <f t="shared" si="4"/>
        <v>0</v>
      </c>
      <c r="U301" s="52">
        <f t="shared" si="5"/>
        <v>0</v>
      </c>
      <c r="V301" s="52">
        <f t="shared" si="6"/>
        <v>0</v>
      </c>
      <c r="W301" s="52">
        <f t="shared" si="7"/>
        <v>0.5229</v>
      </c>
      <c r="X301" s="52">
        <f t="shared" si="8"/>
        <v>0.00014</v>
      </c>
    </row>
    <row r="302" ht="15.0" customHeight="1">
      <c r="A302" s="51">
        <v>65.0</v>
      </c>
      <c r="B302" s="51" t="s">
        <v>61</v>
      </c>
      <c r="C302" s="51">
        <v>224.0</v>
      </c>
      <c r="D302" s="51" t="s">
        <v>164</v>
      </c>
      <c r="E302" s="51" t="s">
        <v>165</v>
      </c>
      <c r="F302" s="51" t="s">
        <v>299</v>
      </c>
      <c r="G302" s="51" t="s">
        <v>300</v>
      </c>
      <c r="H302" s="52">
        <v>1.0</v>
      </c>
      <c r="I302" s="52">
        <v>1.0</v>
      </c>
      <c r="J302" s="52">
        <v>99.02</v>
      </c>
      <c r="K302" s="52">
        <f t="shared" si="67"/>
        <v>0.8916872791</v>
      </c>
      <c r="L302" s="52">
        <f t="shared" si="2"/>
        <v>2.675061837</v>
      </c>
      <c r="M302" s="52">
        <v>0.0</v>
      </c>
      <c r="N302" s="52">
        <v>0.0</v>
      </c>
      <c r="O302" s="52">
        <v>0.0</v>
      </c>
      <c r="P302" s="52">
        <v>0.0</v>
      </c>
      <c r="Q302" s="52">
        <v>0.0</v>
      </c>
      <c r="R302" s="52">
        <v>0.0</v>
      </c>
      <c r="S302" s="52">
        <f t="shared" si="3"/>
        <v>0</v>
      </c>
      <c r="T302" s="52">
        <f t="shared" si="4"/>
        <v>0</v>
      </c>
      <c r="U302" s="52">
        <f t="shared" si="5"/>
        <v>0</v>
      </c>
      <c r="V302" s="52">
        <f t="shared" si="6"/>
        <v>0</v>
      </c>
      <c r="W302" s="52">
        <f t="shared" si="7"/>
        <v>0</v>
      </c>
      <c r="X302" s="52">
        <f t="shared" si="8"/>
        <v>0</v>
      </c>
    </row>
    <row r="303" ht="15.0" customHeight="1">
      <c r="A303" s="51">
        <v>65.0</v>
      </c>
      <c r="B303" s="51" t="s">
        <v>61</v>
      </c>
      <c r="C303" s="51">
        <v>225.0</v>
      </c>
      <c r="D303" s="51" t="s">
        <v>164</v>
      </c>
      <c r="E303" s="51" t="s">
        <v>274</v>
      </c>
      <c r="F303" s="51" t="s">
        <v>299</v>
      </c>
      <c r="G303" s="51" t="s">
        <v>300</v>
      </c>
      <c r="H303" s="52">
        <v>0.5</v>
      </c>
      <c r="I303" s="52">
        <v>0.5</v>
      </c>
      <c r="J303" s="52">
        <v>99.05</v>
      </c>
      <c r="K303" s="52">
        <f t="shared" si="67"/>
        <v>0.4457086036</v>
      </c>
      <c r="L303" s="52">
        <f t="shared" si="2"/>
        <v>1.337125811</v>
      </c>
      <c r="M303" s="52">
        <v>0.0</v>
      </c>
      <c r="N303" s="52">
        <v>0.0</v>
      </c>
      <c r="O303" s="52">
        <v>0.0</v>
      </c>
      <c r="P303" s="52">
        <v>0.0</v>
      </c>
      <c r="Q303" s="52">
        <v>0.0</v>
      </c>
      <c r="R303" s="52">
        <v>0.0</v>
      </c>
      <c r="S303" s="52">
        <f t="shared" si="3"/>
        <v>0</v>
      </c>
      <c r="T303" s="52">
        <f t="shared" si="4"/>
        <v>0</v>
      </c>
      <c r="U303" s="52">
        <f t="shared" si="5"/>
        <v>0</v>
      </c>
      <c r="V303" s="52">
        <f t="shared" si="6"/>
        <v>0</v>
      </c>
      <c r="W303" s="52">
        <f t="shared" si="7"/>
        <v>0</v>
      </c>
      <c r="X303" s="52">
        <f t="shared" si="8"/>
        <v>0</v>
      </c>
    </row>
    <row r="304" ht="15.0" customHeight="1">
      <c r="A304" s="51">
        <v>66.0</v>
      </c>
      <c r="B304" s="51" t="s">
        <v>61</v>
      </c>
      <c r="C304" s="51">
        <v>188.0</v>
      </c>
      <c r="D304" s="51" t="s">
        <v>16</v>
      </c>
      <c r="E304" s="51" t="s">
        <v>19</v>
      </c>
      <c r="F304" s="51" t="s">
        <v>299</v>
      </c>
      <c r="G304" s="51" t="s">
        <v>300</v>
      </c>
      <c r="H304" s="52">
        <v>67.14</v>
      </c>
      <c r="I304" s="52">
        <v>67.14</v>
      </c>
      <c r="J304" s="52">
        <v>87.78</v>
      </c>
      <c r="K304" s="52">
        <f t="shared" ref="K304:K311" si="68">IF(J304&gt;0,(I304/J304)/SUMPRODUCT($I$304:$I$311/$J$304:$J$311)*100,"")</f>
        <v>67.73974643</v>
      </c>
      <c r="L304" s="52">
        <f t="shared" si="2"/>
        <v>203.2192393</v>
      </c>
      <c r="M304" s="52">
        <v>9.1</v>
      </c>
      <c r="N304" s="52">
        <v>86.03</v>
      </c>
      <c r="O304" s="52">
        <v>14.39</v>
      </c>
      <c r="P304" s="52">
        <v>4.18</v>
      </c>
      <c r="Q304" s="52">
        <v>0.03</v>
      </c>
      <c r="R304" s="52">
        <v>0.25</v>
      </c>
      <c r="S304" s="52">
        <f t="shared" si="3"/>
        <v>6.10974</v>
      </c>
      <c r="T304" s="52">
        <f t="shared" si="4"/>
        <v>57.760542</v>
      </c>
      <c r="U304" s="52">
        <f t="shared" si="5"/>
        <v>9.661446</v>
      </c>
      <c r="V304" s="52">
        <f t="shared" si="6"/>
        <v>2.806452</v>
      </c>
      <c r="W304" s="52">
        <f t="shared" si="7"/>
        <v>0.020142</v>
      </c>
      <c r="X304" s="52">
        <f t="shared" si="8"/>
        <v>0.16785</v>
      </c>
    </row>
    <row r="305" ht="15.0" customHeight="1">
      <c r="A305" s="51">
        <v>66.0</v>
      </c>
      <c r="B305" s="51" t="s">
        <v>61</v>
      </c>
      <c r="C305" s="51">
        <v>173.0</v>
      </c>
      <c r="D305" s="51" t="s">
        <v>16</v>
      </c>
      <c r="E305" s="51" t="s">
        <v>52</v>
      </c>
      <c r="F305" s="51" t="s">
        <v>299</v>
      </c>
      <c r="G305" s="51" t="s">
        <v>300</v>
      </c>
      <c r="H305" s="52">
        <v>15.97</v>
      </c>
      <c r="I305" s="52">
        <v>15.97</v>
      </c>
      <c r="J305" s="52">
        <v>90.57</v>
      </c>
      <c r="K305" s="52">
        <f t="shared" si="68"/>
        <v>15.61630759</v>
      </c>
      <c r="L305" s="52">
        <f t="shared" si="2"/>
        <v>46.84892278</v>
      </c>
      <c r="M305" s="52">
        <v>14.21</v>
      </c>
      <c r="N305" s="52">
        <v>75.24</v>
      </c>
      <c r="O305" s="52">
        <v>27.69</v>
      </c>
      <c r="P305" s="52">
        <v>5.13</v>
      </c>
      <c r="Q305" s="52">
        <v>0.13</v>
      </c>
      <c r="R305" s="52">
        <v>0.35</v>
      </c>
      <c r="S305" s="52">
        <f t="shared" si="3"/>
        <v>2.269337</v>
      </c>
      <c r="T305" s="52">
        <f t="shared" si="4"/>
        <v>12.015828</v>
      </c>
      <c r="U305" s="52">
        <f t="shared" si="5"/>
        <v>4.422093</v>
      </c>
      <c r="V305" s="52">
        <f t="shared" si="6"/>
        <v>0.819261</v>
      </c>
      <c r="W305" s="52">
        <f t="shared" si="7"/>
        <v>0.020761</v>
      </c>
      <c r="X305" s="52">
        <f t="shared" si="8"/>
        <v>0.055895</v>
      </c>
    </row>
    <row r="306" ht="15.0" customHeight="1">
      <c r="A306" s="51">
        <v>66.0</v>
      </c>
      <c r="B306" s="51" t="s">
        <v>61</v>
      </c>
      <c r="C306" s="51">
        <v>191.0</v>
      </c>
      <c r="D306" s="51" t="s">
        <v>16</v>
      </c>
      <c r="E306" s="51" t="s">
        <v>271</v>
      </c>
      <c r="F306" s="51" t="s">
        <v>299</v>
      </c>
      <c r="G306" s="51" t="s">
        <v>300</v>
      </c>
      <c r="H306" s="52">
        <v>7.670000000000001</v>
      </c>
      <c r="I306" s="52">
        <v>7.670000000000001</v>
      </c>
      <c r="J306" s="52">
        <v>88.26</v>
      </c>
      <c r="K306" s="52">
        <f t="shared" si="68"/>
        <v>7.696428641</v>
      </c>
      <c r="L306" s="52">
        <f t="shared" si="2"/>
        <v>23.08928592</v>
      </c>
      <c r="M306" s="52">
        <v>9.7</v>
      </c>
      <c r="N306" s="52">
        <v>78.8</v>
      </c>
      <c r="O306" s="52">
        <v>17.27</v>
      </c>
      <c r="P306" s="52">
        <v>2.96</v>
      </c>
      <c r="Q306" s="52">
        <v>0.04</v>
      </c>
      <c r="R306" s="52">
        <v>0.28</v>
      </c>
      <c r="S306" s="52">
        <f t="shared" si="3"/>
        <v>0.74399</v>
      </c>
      <c r="T306" s="52">
        <f t="shared" si="4"/>
        <v>6.04396</v>
      </c>
      <c r="U306" s="52">
        <f t="shared" si="5"/>
        <v>1.324609</v>
      </c>
      <c r="V306" s="52">
        <f t="shared" si="6"/>
        <v>0.227032</v>
      </c>
      <c r="W306" s="52">
        <f t="shared" si="7"/>
        <v>0.003068</v>
      </c>
      <c r="X306" s="52">
        <f t="shared" si="8"/>
        <v>0.021476</v>
      </c>
    </row>
    <row r="307" ht="15.0" customHeight="1">
      <c r="A307" s="51">
        <v>66.0</v>
      </c>
      <c r="B307" s="51" t="s">
        <v>61</v>
      </c>
      <c r="C307" s="51">
        <v>181.0</v>
      </c>
      <c r="D307" s="51" t="s">
        <v>16</v>
      </c>
      <c r="E307" s="51" t="s">
        <v>272</v>
      </c>
      <c r="F307" s="51" t="s">
        <v>299</v>
      </c>
      <c r="G307" s="51" t="s">
        <v>300</v>
      </c>
      <c r="H307" s="52">
        <v>1.0</v>
      </c>
      <c r="I307" s="52">
        <v>1.0</v>
      </c>
      <c r="J307" s="52">
        <v>83.98</v>
      </c>
      <c r="K307" s="52">
        <f t="shared" si="68"/>
        <v>1.054585841</v>
      </c>
      <c r="L307" s="52">
        <f t="shared" si="2"/>
        <v>3.163757522</v>
      </c>
      <c r="M307" s="52">
        <v>3.3</v>
      </c>
      <c r="N307" s="52">
        <v>69.75</v>
      </c>
      <c r="O307" s="52">
        <v>6.03</v>
      </c>
      <c r="P307" s="52">
        <v>1.36</v>
      </c>
      <c r="Q307" s="52">
        <v>1.7</v>
      </c>
      <c r="R307" s="52">
        <v>0.12</v>
      </c>
      <c r="S307" s="52">
        <f t="shared" si="3"/>
        <v>0.033</v>
      </c>
      <c r="T307" s="52">
        <f t="shared" si="4"/>
        <v>0.6975</v>
      </c>
      <c r="U307" s="52">
        <f t="shared" si="5"/>
        <v>0.0603</v>
      </c>
      <c r="V307" s="52">
        <f t="shared" si="6"/>
        <v>0.0136</v>
      </c>
      <c r="W307" s="52">
        <f t="shared" si="7"/>
        <v>0.017</v>
      </c>
      <c r="X307" s="52">
        <f t="shared" si="8"/>
        <v>0.0012</v>
      </c>
    </row>
    <row r="308" ht="15.0" customHeight="1">
      <c r="A308" s="51">
        <v>66.0</v>
      </c>
      <c r="B308" s="51" t="s">
        <v>61</v>
      </c>
      <c r="C308" s="51">
        <v>208.0</v>
      </c>
      <c r="D308" s="51" t="s">
        <v>22</v>
      </c>
      <c r="E308" s="51" t="s">
        <v>23</v>
      </c>
      <c r="F308" s="51" t="s">
        <v>299</v>
      </c>
      <c r="G308" s="51" t="s">
        <v>300</v>
      </c>
      <c r="H308" s="52">
        <v>5.19</v>
      </c>
      <c r="I308" s="52">
        <v>5.19</v>
      </c>
      <c r="J308" s="52">
        <v>88.48</v>
      </c>
      <c r="K308" s="52">
        <f t="shared" si="68"/>
        <v>5.194934189</v>
      </c>
      <c r="L308" s="52">
        <f t="shared" si="2"/>
        <v>15.58480257</v>
      </c>
      <c r="M308" s="52">
        <v>48.76</v>
      </c>
      <c r="N308" s="52">
        <v>80.73</v>
      </c>
      <c r="O308" s="52">
        <v>15.37</v>
      </c>
      <c r="P308" s="52">
        <v>1.75</v>
      </c>
      <c r="Q308" s="52">
        <v>0.33</v>
      </c>
      <c r="R308" s="52">
        <v>0.57</v>
      </c>
      <c r="S308" s="52">
        <f t="shared" si="3"/>
        <v>2.530644</v>
      </c>
      <c r="T308" s="52">
        <f t="shared" si="4"/>
        <v>4.189887</v>
      </c>
      <c r="U308" s="52">
        <f t="shared" si="5"/>
        <v>0.797703</v>
      </c>
      <c r="V308" s="52">
        <f t="shared" si="6"/>
        <v>0.090825</v>
      </c>
      <c r="W308" s="52">
        <f t="shared" si="7"/>
        <v>0.017127</v>
      </c>
      <c r="X308" s="52">
        <f t="shared" si="8"/>
        <v>0.029583</v>
      </c>
    </row>
    <row r="309" ht="15.0" customHeight="1">
      <c r="A309" s="51">
        <v>66.0</v>
      </c>
      <c r="B309" s="51" t="s">
        <v>61</v>
      </c>
      <c r="C309" s="51">
        <v>213.0</v>
      </c>
      <c r="D309" s="51" t="s">
        <v>24</v>
      </c>
      <c r="E309" s="51" t="s">
        <v>26</v>
      </c>
      <c r="F309" s="51" t="s">
        <v>299</v>
      </c>
      <c r="G309" s="51" t="s">
        <v>300</v>
      </c>
      <c r="H309" s="52">
        <v>1.53</v>
      </c>
      <c r="I309" s="52">
        <v>1.53</v>
      </c>
      <c r="J309" s="52">
        <v>99.89</v>
      </c>
      <c r="K309" s="52">
        <f t="shared" si="68"/>
        <v>1.356523194</v>
      </c>
      <c r="L309" s="52">
        <f t="shared" si="2"/>
        <v>4.069569583</v>
      </c>
      <c r="M309" s="52">
        <v>0.0</v>
      </c>
      <c r="N309" s="52">
        <v>0.0</v>
      </c>
      <c r="O309" s="52">
        <v>0.0</v>
      </c>
      <c r="P309" s="52">
        <v>0.0</v>
      </c>
      <c r="Q309" s="52">
        <v>37.35</v>
      </c>
      <c r="R309" s="52">
        <v>0.01</v>
      </c>
      <c r="S309" s="52">
        <f t="shared" si="3"/>
        <v>0</v>
      </c>
      <c r="T309" s="52">
        <f t="shared" si="4"/>
        <v>0</v>
      </c>
      <c r="U309" s="52">
        <f t="shared" si="5"/>
        <v>0</v>
      </c>
      <c r="V309" s="52">
        <f t="shared" si="6"/>
        <v>0</v>
      </c>
      <c r="W309" s="52">
        <f t="shared" si="7"/>
        <v>0.571455</v>
      </c>
      <c r="X309" s="52">
        <f t="shared" si="8"/>
        <v>0.000153</v>
      </c>
    </row>
    <row r="310" ht="15.0" customHeight="1">
      <c r="A310" s="51">
        <v>66.0</v>
      </c>
      <c r="B310" s="51" t="s">
        <v>61</v>
      </c>
      <c r="C310" s="51">
        <v>224.0</v>
      </c>
      <c r="D310" s="51" t="s">
        <v>164</v>
      </c>
      <c r="E310" s="51" t="s">
        <v>165</v>
      </c>
      <c r="F310" s="51" t="s">
        <v>299</v>
      </c>
      <c r="G310" s="51" t="s">
        <v>300</v>
      </c>
      <c r="H310" s="52">
        <v>1.0</v>
      </c>
      <c r="I310" s="52">
        <v>1.0</v>
      </c>
      <c r="J310" s="52">
        <v>99.02</v>
      </c>
      <c r="K310" s="52">
        <f t="shared" si="68"/>
        <v>0.8944063713</v>
      </c>
      <c r="L310" s="52">
        <f t="shared" si="2"/>
        <v>2.683219114</v>
      </c>
      <c r="M310" s="52">
        <v>0.0</v>
      </c>
      <c r="N310" s="52">
        <v>0.0</v>
      </c>
      <c r="O310" s="52">
        <v>0.0</v>
      </c>
      <c r="P310" s="52">
        <v>0.0</v>
      </c>
      <c r="Q310" s="52">
        <v>0.0</v>
      </c>
      <c r="R310" s="52">
        <v>0.0</v>
      </c>
      <c r="S310" s="52">
        <f t="shared" si="3"/>
        <v>0</v>
      </c>
      <c r="T310" s="52">
        <f t="shared" si="4"/>
        <v>0</v>
      </c>
      <c r="U310" s="52">
        <f t="shared" si="5"/>
        <v>0</v>
      </c>
      <c r="V310" s="52">
        <f t="shared" si="6"/>
        <v>0</v>
      </c>
      <c r="W310" s="52">
        <f t="shared" si="7"/>
        <v>0</v>
      </c>
      <c r="X310" s="52">
        <f t="shared" si="8"/>
        <v>0</v>
      </c>
    </row>
    <row r="311" ht="15.0" customHeight="1">
      <c r="A311" s="51">
        <v>66.0</v>
      </c>
      <c r="B311" s="51" t="s">
        <v>61</v>
      </c>
      <c r="C311" s="51">
        <v>225.0</v>
      </c>
      <c r="D311" s="51" t="s">
        <v>164</v>
      </c>
      <c r="E311" s="51" t="s">
        <v>274</v>
      </c>
      <c r="F311" s="51" t="s">
        <v>299</v>
      </c>
      <c r="G311" s="51" t="s">
        <v>300</v>
      </c>
      <c r="H311" s="52">
        <v>0.5</v>
      </c>
      <c r="I311" s="52">
        <v>0.5</v>
      </c>
      <c r="J311" s="52">
        <v>99.05</v>
      </c>
      <c r="K311" s="52">
        <f t="shared" si="68"/>
        <v>0.4470677379</v>
      </c>
      <c r="L311" s="52">
        <f t="shared" si="2"/>
        <v>1.341203214</v>
      </c>
      <c r="M311" s="52">
        <v>0.0</v>
      </c>
      <c r="N311" s="52">
        <v>0.0</v>
      </c>
      <c r="O311" s="52">
        <v>0.0</v>
      </c>
      <c r="P311" s="52">
        <v>0.0</v>
      </c>
      <c r="Q311" s="52">
        <v>0.0</v>
      </c>
      <c r="R311" s="52">
        <v>0.0</v>
      </c>
      <c r="S311" s="52">
        <f t="shared" si="3"/>
        <v>0</v>
      </c>
      <c r="T311" s="52">
        <f t="shared" si="4"/>
        <v>0</v>
      </c>
      <c r="U311" s="52">
        <f t="shared" si="5"/>
        <v>0</v>
      </c>
      <c r="V311" s="52">
        <f t="shared" si="6"/>
        <v>0</v>
      </c>
      <c r="W311" s="52">
        <f t="shared" si="7"/>
        <v>0</v>
      </c>
      <c r="X311" s="52">
        <f t="shared" si="8"/>
        <v>0</v>
      </c>
    </row>
    <row r="312" ht="15.0" customHeight="1">
      <c r="A312" s="51">
        <v>67.0</v>
      </c>
      <c r="B312" s="51" t="s">
        <v>61</v>
      </c>
      <c r="C312" s="51">
        <v>188.0</v>
      </c>
      <c r="D312" s="51" t="s">
        <v>16</v>
      </c>
      <c r="E312" s="51" t="s">
        <v>19</v>
      </c>
      <c r="F312" s="51" t="s">
        <v>299</v>
      </c>
      <c r="G312" s="51" t="s">
        <v>300</v>
      </c>
      <c r="H312" s="52">
        <v>34.18</v>
      </c>
      <c r="I312" s="52">
        <v>34.18</v>
      </c>
      <c r="J312" s="52">
        <v>87.78</v>
      </c>
      <c r="K312" s="52">
        <f t="shared" ref="K312:K319" si="69">IF(J312&gt;0,(I312/J312)/SUMPRODUCT($I$312:$I$319/$J$312:$J$319)*100,"")</f>
        <v>34.55086168</v>
      </c>
      <c r="L312" s="52">
        <f t="shared" si="2"/>
        <v>103.652585</v>
      </c>
      <c r="M312" s="52">
        <v>9.1</v>
      </c>
      <c r="N312" s="52">
        <v>86.03</v>
      </c>
      <c r="O312" s="52">
        <v>14.39</v>
      </c>
      <c r="P312" s="52">
        <v>4.18</v>
      </c>
      <c r="Q312" s="52">
        <v>0.03</v>
      </c>
      <c r="R312" s="52">
        <v>0.25</v>
      </c>
      <c r="S312" s="52">
        <f t="shared" si="3"/>
        <v>3.11038</v>
      </c>
      <c r="T312" s="52">
        <f t="shared" si="4"/>
        <v>29.405054</v>
      </c>
      <c r="U312" s="52">
        <f t="shared" si="5"/>
        <v>4.918502</v>
      </c>
      <c r="V312" s="52">
        <f t="shared" si="6"/>
        <v>1.428724</v>
      </c>
      <c r="W312" s="52">
        <f t="shared" si="7"/>
        <v>0.010254</v>
      </c>
      <c r="X312" s="52">
        <f t="shared" si="8"/>
        <v>0.08545</v>
      </c>
    </row>
    <row r="313" ht="15.0" customHeight="1">
      <c r="A313" s="51">
        <v>67.0</v>
      </c>
      <c r="B313" s="51" t="s">
        <v>61</v>
      </c>
      <c r="C313" s="51">
        <v>173.0</v>
      </c>
      <c r="D313" s="51" t="s">
        <v>16</v>
      </c>
      <c r="E313" s="51" t="s">
        <v>52</v>
      </c>
      <c r="F313" s="51" t="s">
        <v>299</v>
      </c>
      <c r="G313" s="51" t="s">
        <v>300</v>
      </c>
      <c r="H313" s="52">
        <v>30.45</v>
      </c>
      <c r="I313" s="52">
        <v>30.45</v>
      </c>
      <c r="J313" s="52">
        <v>90.57</v>
      </c>
      <c r="K313" s="52">
        <f t="shared" si="69"/>
        <v>29.83220332</v>
      </c>
      <c r="L313" s="52">
        <f t="shared" si="2"/>
        <v>89.49660996</v>
      </c>
      <c r="M313" s="52">
        <v>14.21</v>
      </c>
      <c r="N313" s="52">
        <v>75.24</v>
      </c>
      <c r="O313" s="52">
        <v>27.69</v>
      </c>
      <c r="P313" s="52">
        <v>5.13</v>
      </c>
      <c r="Q313" s="52">
        <v>0.13</v>
      </c>
      <c r="R313" s="52">
        <v>0.35</v>
      </c>
      <c r="S313" s="52">
        <f t="shared" si="3"/>
        <v>4.326945</v>
      </c>
      <c r="T313" s="52">
        <f t="shared" si="4"/>
        <v>22.91058</v>
      </c>
      <c r="U313" s="52">
        <f t="shared" si="5"/>
        <v>8.431605</v>
      </c>
      <c r="V313" s="52">
        <f t="shared" si="6"/>
        <v>1.562085</v>
      </c>
      <c r="W313" s="52">
        <f t="shared" si="7"/>
        <v>0.039585</v>
      </c>
      <c r="X313" s="52">
        <f t="shared" si="8"/>
        <v>0.106575</v>
      </c>
    </row>
    <row r="314" ht="15.0" customHeight="1">
      <c r="A314" s="51">
        <v>67.0</v>
      </c>
      <c r="B314" s="51" t="s">
        <v>61</v>
      </c>
      <c r="C314" s="51">
        <v>191.0</v>
      </c>
      <c r="D314" s="51" t="s">
        <v>16</v>
      </c>
      <c r="E314" s="51" t="s">
        <v>271</v>
      </c>
      <c r="F314" s="51" t="s">
        <v>299</v>
      </c>
      <c r="G314" s="51" t="s">
        <v>300</v>
      </c>
      <c r="H314" s="52">
        <v>20.62</v>
      </c>
      <c r="I314" s="52">
        <v>20.62</v>
      </c>
      <c r="J314" s="52">
        <v>88.26</v>
      </c>
      <c r="K314" s="52">
        <f t="shared" si="69"/>
        <v>20.73037407</v>
      </c>
      <c r="L314" s="52">
        <f t="shared" si="2"/>
        <v>62.19112222</v>
      </c>
      <c r="M314" s="52">
        <v>9.7</v>
      </c>
      <c r="N314" s="52">
        <v>78.8</v>
      </c>
      <c r="O314" s="52">
        <v>17.27</v>
      </c>
      <c r="P314" s="52">
        <v>2.96</v>
      </c>
      <c r="Q314" s="52">
        <v>0.04</v>
      </c>
      <c r="R314" s="52">
        <v>0.28</v>
      </c>
      <c r="S314" s="52">
        <f t="shared" si="3"/>
        <v>2.00014</v>
      </c>
      <c r="T314" s="52">
        <f t="shared" si="4"/>
        <v>16.24856</v>
      </c>
      <c r="U314" s="52">
        <f t="shared" si="5"/>
        <v>3.561074</v>
      </c>
      <c r="V314" s="52">
        <f t="shared" si="6"/>
        <v>0.610352</v>
      </c>
      <c r="W314" s="52">
        <f t="shared" si="7"/>
        <v>0.008248</v>
      </c>
      <c r="X314" s="52">
        <f t="shared" si="8"/>
        <v>0.057736</v>
      </c>
    </row>
    <row r="315" ht="15.0" customHeight="1">
      <c r="A315" s="51">
        <v>67.0</v>
      </c>
      <c r="B315" s="51" t="s">
        <v>61</v>
      </c>
      <c r="C315" s="51">
        <v>181.0</v>
      </c>
      <c r="D315" s="51" t="s">
        <v>16</v>
      </c>
      <c r="E315" s="51" t="s">
        <v>272</v>
      </c>
      <c r="F315" s="51" t="s">
        <v>299</v>
      </c>
      <c r="G315" s="51" t="s">
        <v>300</v>
      </c>
      <c r="H315" s="52">
        <v>7.000000000000001</v>
      </c>
      <c r="I315" s="52">
        <v>7.000000000000001</v>
      </c>
      <c r="J315" s="52">
        <v>83.98</v>
      </c>
      <c r="K315" s="52">
        <f t="shared" si="69"/>
        <v>7.396130591</v>
      </c>
      <c r="L315" s="52">
        <f t="shared" si="2"/>
        <v>22.18839177</v>
      </c>
      <c r="M315" s="52">
        <v>3.3</v>
      </c>
      <c r="N315" s="52">
        <v>69.75</v>
      </c>
      <c r="O315" s="52">
        <v>6.03</v>
      </c>
      <c r="P315" s="52">
        <v>1.36</v>
      </c>
      <c r="Q315" s="52">
        <v>1.7</v>
      </c>
      <c r="R315" s="52">
        <v>0.12</v>
      </c>
      <c r="S315" s="52">
        <f t="shared" si="3"/>
        <v>0.231</v>
      </c>
      <c r="T315" s="52">
        <f t="shared" si="4"/>
        <v>4.8825</v>
      </c>
      <c r="U315" s="52">
        <f t="shared" si="5"/>
        <v>0.4221</v>
      </c>
      <c r="V315" s="52">
        <f t="shared" si="6"/>
        <v>0.0952</v>
      </c>
      <c r="W315" s="52">
        <f t="shared" si="7"/>
        <v>0.119</v>
      </c>
      <c r="X315" s="52">
        <f t="shared" si="8"/>
        <v>0.0084</v>
      </c>
    </row>
    <row r="316" ht="15.0" customHeight="1">
      <c r="A316" s="51">
        <v>67.0</v>
      </c>
      <c r="B316" s="51" t="s">
        <v>61</v>
      </c>
      <c r="C316" s="51">
        <v>208.0</v>
      </c>
      <c r="D316" s="51" t="s">
        <v>22</v>
      </c>
      <c r="E316" s="51" t="s">
        <v>23</v>
      </c>
      <c r="F316" s="51" t="s">
        <v>299</v>
      </c>
      <c r="G316" s="51" t="s">
        <v>300</v>
      </c>
      <c r="H316" s="52">
        <v>5.19</v>
      </c>
      <c r="I316" s="52">
        <v>5.19</v>
      </c>
      <c r="J316" s="52">
        <v>88.48</v>
      </c>
      <c r="K316" s="52">
        <f t="shared" si="69"/>
        <v>5.204807179</v>
      </c>
      <c r="L316" s="52">
        <f t="shared" si="2"/>
        <v>15.61442154</v>
      </c>
      <c r="M316" s="52">
        <v>48.76</v>
      </c>
      <c r="N316" s="52">
        <v>80.73</v>
      </c>
      <c r="O316" s="52">
        <v>15.37</v>
      </c>
      <c r="P316" s="52">
        <v>1.75</v>
      </c>
      <c r="Q316" s="52">
        <v>0.33</v>
      </c>
      <c r="R316" s="52">
        <v>0.57</v>
      </c>
      <c r="S316" s="52">
        <f t="shared" si="3"/>
        <v>2.530644</v>
      </c>
      <c r="T316" s="52">
        <f t="shared" si="4"/>
        <v>4.189887</v>
      </c>
      <c r="U316" s="52">
        <f t="shared" si="5"/>
        <v>0.797703</v>
      </c>
      <c r="V316" s="52">
        <f t="shared" si="6"/>
        <v>0.090825</v>
      </c>
      <c r="W316" s="52">
        <f t="shared" si="7"/>
        <v>0.017127</v>
      </c>
      <c r="X316" s="52">
        <f t="shared" si="8"/>
        <v>0.029583</v>
      </c>
    </row>
    <row r="317" ht="15.0" customHeight="1">
      <c r="A317" s="51">
        <v>67.0</v>
      </c>
      <c r="B317" s="51" t="s">
        <v>61</v>
      </c>
      <c r="C317" s="51">
        <v>213.0</v>
      </c>
      <c r="D317" s="51" t="s">
        <v>24</v>
      </c>
      <c r="E317" s="51" t="s">
        <v>26</v>
      </c>
      <c r="F317" s="51" t="s">
        <v>299</v>
      </c>
      <c r="G317" s="51" t="s">
        <v>300</v>
      </c>
      <c r="H317" s="52">
        <v>1.06</v>
      </c>
      <c r="I317" s="52">
        <v>1.06</v>
      </c>
      <c r="J317" s="52">
        <v>99.89</v>
      </c>
      <c r="K317" s="52">
        <f t="shared" si="69"/>
        <v>0.9415995736</v>
      </c>
      <c r="L317" s="52">
        <f t="shared" si="2"/>
        <v>2.824798721</v>
      </c>
      <c r="M317" s="52">
        <v>0.0</v>
      </c>
      <c r="N317" s="52">
        <v>0.0</v>
      </c>
      <c r="O317" s="52">
        <v>0.0</v>
      </c>
      <c r="P317" s="52">
        <v>0.0</v>
      </c>
      <c r="Q317" s="52">
        <v>37.35</v>
      </c>
      <c r="R317" s="52">
        <v>0.01</v>
      </c>
      <c r="S317" s="52">
        <f t="shared" si="3"/>
        <v>0</v>
      </c>
      <c r="T317" s="52">
        <f t="shared" si="4"/>
        <v>0</v>
      </c>
      <c r="U317" s="52">
        <f t="shared" si="5"/>
        <v>0</v>
      </c>
      <c r="V317" s="52">
        <f t="shared" si="6"/>
        <v>0</v>
      </c>
      <c r="W317" s="52">
        <f t="shared" si="7"/>
        <v>0.39591</v>
      </c>
      <c r="X317" s="52">
        <f t="shared" si="8"/>
        <v>0.000106</v>
      </c>
    </row>
    <row r="318" ht="15.0" customHeight="1">
      <c r="A318" s="51">
        <v>67.0</v>
      </c>
      <c r="B318" s="51" t="s">
        <v>61</v>
      </c>
      <c r="C318" s="51">
        <v>224.0</v>
      </c>
      <c r="D318" s="51" t="s">
        <v>164</v>
      </c>
      <c r="E318" s="51" t="s">
        <v>165</v>
      </c>
      <c r="F318" s="51" t="s">
        <v>299</v>
      </c>
      <c r="G318" s="51" t="s">
        <v>300</v>
      </c>
      <c r="H318" s="52">
        <v>1.0</v>
      </c>
      <c r="I318" s="52">
        <v>1.0</v>
      </c>
      <c r="J318" s="52">
        <v>99.02</v>
      </c>
      <c r="K318" s="52">
        <f t="shared" si="69"/>
        <v>0.8961061936</v>
      </c>
      <c r="L318" s="52">
        <f t="shared" si="2"/>
        <v>2.688318581</v>
      </c>
      <c r="M318" s="52">
        <v>0.0</v>
      </c>
      <c r="N318" s="52">
        <v>0.0</v>
      </c>
      <c r="O318" s="52">
        <v>0.0</v>
      </c>
      <c r="P318" s="52">
        <v>0.0</v>
      </c>
      <c r="Q318" s="52">
        <v>0.0</v>
      </c>
      <c r="R318" s="52">
        <v>0.0</v>
      </c>
      <c r="S318" s="52">
        <f t="shared" si="3"/>
        <v>0</v>
      </c>
      <c r="T318" s="52">
        <f t="shared" si="4"/>
        <v>0</v>
      </c>
      <c r="U318" s="52">
        <f t="shared" si="5"/>
        <v>0</v>
      </c>
      <c r="V318" s="52">
        <f t="shared" si="6"/>
        <v>0</v>
      </c>
      <c r="W318" s="52">
        <f t="shared" si="7"/>
        <v>0</v>
      </c>
      <c r="X318" s="52">
        <f t="shared" si="8"/>
        <v>0</v>
      </c>
    </row>
    <row r="319" ht="15.0" customHeight="1">
      <c r="A319" s="51">
        <v>67.0</v>
      </c>
      <c r="B319" s="51" t="s">
        <v>61</v>
      </c>
      <c r="C319" s="51">
        <v>225.0</v>
      </c>
      <c r="D319" s="51" t="s">
        <v>164</v>
      </c>
      <c r="E319" s="51" t="s">
        <v>274</v>
      </c>
      <c r="F319" s="51" t="s">
        <v>299</v>
      </c>
      <c r="G319" s="51" t="s">
        <v>300</v>
      </c>
      <c r="H319" s="52">
        <v>0.5</v>
      </c>
      <c r="I319" s="52">
        <v>0.5</v>
      </c>
      <c r="J319" s="52">
        <v>99.05</v>
      </c>
      <c r="K319" s="52">
        <f t="shared" si="69"/>
        <v>0.4479173917</v>
      </c>
      <c r="L319" s="52">
        <f t="shared" si="2"/>
        <v>1.343752175</v>
      </c>
      <c r="M319" s="52">
        <v>0.0</v>
      </c>
      <c r="N319" s="52">
        <v>0.0</v>
      </c>
      <c r="O319" s="52">
        <v>0.0</v>
      </c>
      <c r="P319" s="52">
        <v>0.0</v>
      </c>
      <c r="Q319" s="52">
        <v>0.0</v>
      </c>
      <c r="R319" s="52">
        <v>0.0</v>
      </c>
      <c r="S319" s="52">
        <f t="shared" si="3"/>
        <v>0</v>
      </c>
      <c r="T319" s="52">
        <f t="shared" si="4"/>
        <v>0</v>
      </c>
      <c r="U319" s="52">
        <f t="shared" si="5"/>
        <v>0</v>
      </c>
      <c r="V319" s="52">
        <f t="shared" si="6"/>
        <v>0</v>
      </c>
      <c r="W319" s="52">
        <f t="shared" si="7"/>
        <v>0</v>
      </c>
      <c r="X319" s="52">
        <f t="shared" si="8"/>
        <v>0</v>
      </c>
    </row>
    <row r="320" ht="15.0" customHeight="1">
      <c r="A320" s="51">
        <v>68.0</v>
      </c>
      <c r="B320" s="51" t="s">
        <v>61</v>
      </c>
      <c r="C320" s="51">
        <v>188.0</v>
      </c>
      <c r="D320" s="51" t="s">
        <v>16</v>
      </c>
      <c r="E320" s="51" t="s">
        <v>19</v>
      </c>
      <c r="F320" s="51" t="s">
        <v>299</v>
      </c>
      <c r="G320" s="51" t="s">
        <v>300</v>
      </c>
      <c r="H320" s="52">
        <v>22.87</v>
      </c>
      <c r="I320" s="52">
        <v>22.87</v>
      </c>
      <c r="J320" s="52">
        <v>87.78</v>
      </c>
      <c r="K320" s="52">
        <f t="shared" ref="K320:K327" si="70">IF(J320&gt;0,(I320/J320)/SUMPRODUCT($I$320:$I$327/$J$320:$J$327)*100,"")</f>
        <v>23.10183078</v>
      </c>
      <c r="L320" s="52">
        <f t="shared" si="2"/>
        <v>69.30549234</v>
      </c>
      <c r="M320" s="52">
        <v>9.1</v>
      </c>
      <c r="N320" s="52">
        <v>86.03</v>
      </c>
      <c r="O320" s="52">
        <v>14.39</v>
      </c>
      <c r="P320" s="52">
        <v>4.18</v>
      </c>
      <c r="Q320" s="52">
        <v>0.03</v>
      </c>
      <c r="R320" s="52">
        <v>0.25</v>
      </c>
      <c r="S320" s="52">
        <f t="shared" si="3"/>
        <v>2.08117</v>
      </c>
      <c r="T320" s="52">
        <f t="shared" si="4"/>
        <v>19.675061</v>
      </c>
      <c r="U320" s="52">
        <f t="shared" si="5"/>
        <v>3.290993</v>
      </c>
      <c r="V320" s="52">
        <f t="shared" si="6"/>
        <v>0.955966</v>
      </c>
      <c r="W320" s="52">
        <f t="shared" si="7"/>
        <v>0.006861</v>
      </c>
      <c r="X320" s="52">
        <f t="shared" si="8"/>
        <v>0.057175</v>
      </c>
    </row>
    <row r="321" ht="15.0" customHeight="1">
      <c r="A321" s="51">
        <v>68.0</v>
      </c>
      <c r="B321" s="51" t="s">
        <v>61</v>
      </c>
      <c r="C321" s="51">
        <v>173.0</v>
      </c>
      <c r="D321" s="51" t="s">
        <v>16</v>
      </c>
      <c r="E321" s="51" t="s">
        <v>52</v>
      </c>
      <c r="F321" s="51" t="s">
        <v>299</v>
      </c>
      <c r="G321" s="51" t="s">
        <v>300</v>
      </c>
      <c r="H321" s="52">
        <v>23.04</v>
      </c>
      <c r="I321" s="52">
        <v>23.04</v>
      </c>
      <c r="J321" s="52">
        <v>90.57</v>
      </c>
      <c r="K321" s="52">
        <f t="shared" si="70"/>
        <v>22.55661449</v>
      </c>
      <c r="L321" s="52">
        <f t="shared" si="2"/>
        <v>67.66984348</v>
      </c>
      <c r="M321" s="52">
        <v>14.21</v>
      </c>
      <c r="N321" s="52">
        <v>75.24</v>
      </c>
      <c r="O321" s="52">
        <v>27.69</v>
      </c>
      <c r="P321" s="52">
        <v>5.13</v>
      </c>
      <c r="Q321" s="52">
        <v>0.13</v>
      </c>
      <c r="R321" s="52">
        <v>0.35</v>
      </c>
      <c r="S321" s="52">
        <f t="shared" si="3"/>
        <v>3.273984</v>
      </c>
      <c r="T321" s="52">
        <f t="shared" si="4"/>
        <v>17.335296</v>
      </c>
      <c r="U321" s="52">
        <f t="shared" si="5"/>
        <v>6.379776</v>
      </c>
      <c r="V321" s="52">
        <f t="shared" si="6"/>
        <v>1.181952</v>
      </c>
      <c r="W321" s="52">
        <f t="shared" si="7"/>
        <v>0.029952</v>
      </c>
      <c r="X321" s="52">
        <f t="shared" si="8"/>
        <v>0.08064</v>
      </c>
    </row>
    <row r="322" ht="15.0" customHeight="1">
      <c r="A322" s="51">
        <v>68.0</v>
      </c>
      <c r="B322" s="51" t="s">
        <v>61</v>
      </c>
      <c r="C322" s="51">
        <v>191.0</v>
      </c>
      <c r="D322" s="51" t="s">
        <v>16</v>
      </c>
      <c r="E322" s="51" t="s">
        <v>271</v>
      </c>
      <c r="F322" s="51" t="s">
        <v>299</v>
      </c>
      <c r="G322" s="51" t="s">
        <v>300</v>
      </c>
      <c r="H322" s="52">
        <v>22.87</v>
      </c>
      <c r="I322" s="52">
        <v>22.87</v>
      </c>
      <c r="J322" s="52">
        <v>88.26</v>
      </c>
      <c r="K322" s="52">
        <f t="shared" si="70"/>
        <v>22.976192</v>
      </c>
      <c r="L322" s="52">
        <f t="shared" si="2"/>
        <v>68.928576</v>
      </c>
      <c r="M322" s="52">
        <v>9.7</v>
      </c>
      <c r="N322" s="52">
        <v>78.8</v>
      </c>
      <c r="O322" s="52">
        <v>17.27</v>
      </c>
      <c r="P322" s="52">
        <v>2.96</v>
      </c>
      <c r="Q322" s="52">
        <v>0.04</v>
      </c>
      <c r="R322" s="52">
        <v>0.28</v>
      </c>
      <c r="S322" s="52">
        <f t="shared" si="3"/>
        <v>2.21839</v>
      </c>
      <c r="T322" s="52">
        <f t="shared" si="4"/>
        <v>18.02156</v>
      </c>
      <c r="U322" s="52">
        <f t="shared" si="5"/>
        <v>3.949649</v>
      </c>
      <c r="V322" s="52">
        <f t="shared" si="6"/>
        <v>0.676952</v>
      </c>
      <c r="W322" s="52">
        <f t="shared" si="7"/>
        <v>0.009148</v>
      </c>
      <c r="X322" s="52">
        <f t="shared" si="8"/>
        <v>0.064036</v>
      </c>
    </row>
    <row r="323" ht="15.0" customHeight="1">
      <c r="A323" s="51">
        <v>68.0</v>
      </c>
      <c r="B323" s="51" t="s">
        <v>61</v>
      </c>
      <c r="C323" s="51">
        <v>181.0</v>
      </c>
      <c r="D323" s="51" t="s">
        <v>16</v>
      </c>
      <c r="E323" s="51" t="s">
        <v>272</v>
      </c>
      <c r="F323" s="51" t="s">
        <v>299</v>
      </c>
      <c r="G323" s="51" t="s">
        <v>300</v>
      </c>
      <c r="H323" s="52">
        <v>7.000000000000001</v>
      </c>
      <c r="I323" s="52">
        <v>7.000000000000001</v>
      </c>
      <c r="J323" s="52">
        <v>83.98</v>
      </c>
      <c r="K323" s="52">
        <f t="shared" si="70"/>
        <v>7.390911125</v>
      </c>
      <c r="L323" s="52">
        <f t="shared" si="2"/>
        <v>22.17273337</v>
      </c>
      <c r="M323" s="52">
        <v>3.3</v>
      </c>
      <c r="N323" s="52">
        <v>69.75</v>
      </c>
      <c r="O323" s="52">
        <v>6.03</v>
      </c>
      <c r="P323" s="52">
        <v>1.36</v>
      </c>
      <c r="Q323" s="52">
        <v>1.7</v>
      </c>
      <c r="R323" s="52">
        <v>0.12</v>
      </c>
      <c r="S323" s="52">
        <f t="shared" si="3"/>
        <v>0.231</v>
      </c>
      <c r="T323" s="52">
        <f t="shared" si="4"/>
        <v>4.8825</v>
      </c>
      <c r="U323" s="52">
        <f t="shared" si="5"/>
        <v>0.4221</v>
      </c>
      <c r="V323" s="52">
        <f t="shared" si="6"/>
        <v>0.0952</v>
      </c>
      <c r="W323" s="52">
        <f t="shared" si="7"/>
        <v>0.119</v>
      </c>
      <c r="X323" s="52">
        <f t="shared" si="8"/>
        <v>0.0084</v>
      </c>
    </row>
    <row r="324" ht="15.0" customHeight="1">
      <c r="A324" s="51">
        <v>68.0</v>
      </c>
      <c r="B324" s="51" t="s">
        <v>61</v>
      </c>
      <c r="C324" s="51">
        <v>208.0</v>
      </c>
      <c r="D324" s="51" t="s">
        <v>22</v>
      </c>
      <c r="E324" s="51" t="s">
        <v>23</v>
      </c>
      <c r="F324" s="51" t="s">
        <v>299</v>
      </c>
      <c r="G324" s="51" t="s">
        <v>300</v>
      </c>
      <c r="H324" s="52">
        <v>21.52</v>
      </c>
      <c r="I324" s="52">
        <v>21.52</v>
      </c>
      <c r="J324" s="52">
        <v>88.48</v>
      </c>
      <c r="K324" s="52">
        <f t="shared" si="70"/>
        <v>21.56616697</v>
      </c>
      <c r="L324" s="52">
        <f t="shared" si="2"/>
        <v>64.69850091</v>
      </c>
      <c r="M324" s="52">
        <v>48.76</v>
      </c>
      <c r="N324" s="52">
        <v>80.73</v>
      </c>
      <c r="O324" s="52">
        <v>15.37</v>
      </c>
      <c r="P324" s="52">
        <v>1.75</v>
      </c>
      <c r="Q324" s="52">
        <v>0.33</v>
      </c>
      <c r="R324" s="52">
        <v>0.57</v>
      </c>
      <c r="S324" s="52">
        <f t="shared" si="3"/>
        <v>10.493152</v>
      </c>
      <c r="T324" s="52">
        <f t="shared" si="4"/>
        <v>17.373096</v>
      </c>
      <c r="U324" s="52">
        <f t="shared" si="5"/>
        <v>3.307624</v>
      </c>
      <c r="V324" s="52">
        <f t="shared" si="6"/>
        <v>0.3766</v>
      </c>
      <c r="W324" s="52">
        <f t="shared" si="7"/>
        <v>0.071016</v>
      </c>
      <c r="X324" s="52">
        <f t="shared" si="8"/>
        <v>0.122664</v>
      </c>
    </row>
    <row r="325" ht="15.0" customHeight="1">
      <c r="A325" s="51">
        <v>68.0</v>
      </c>
      <c r="B325" s="51" t="s">
        <v>61</v>
      </c>
      <c r="C325" s="51">
        <v>213.0</v>
      </c>
      <c r="D325" s="51" t="s">
        <v>24</v>
      </c>
      <c r="E325" s="51" t="s">
        <v>26</v>
      </c>
      <c r="F325" s="51" t="s">
        <v>299</v>
      </c>
      <c r="G325" s="51" t="s">
        <v>300</v>
      </c>
      <c r="H325" s="52">
        <v>1.2</v>
      </c>
      <c r="I325" s="52">
        <v>1.2</v>
      </c>
      <c r="J325" s="52">
        <v>99.89</v>
      </c>
      <c r="K325" s="52">
        <f t="shared" si="70"/>
        <v>1.06520953</v>
      </c>
      <c r="L325" s="52">
        <f t="shared" si="2"/>
        <v>3.195628589</v>
      </c>
      <c r="M325" s="52">
        <v>0.0</v>
      </c>
      <c r="N325" s="52">
        <v>0.0</v>
      </c>
      <c r="O325" s="52">
        <v>0.0</v>
      </c>
      <c r="P325" s="52">
        <v>0.0</v>
      </c>
      <c r="Q325" s="52">
        <v>37.35</v>
      </c>
      <c r="R325" s="52">
        <v>0.01</v>
      </c>
      <c r="S325" s="52">
        <f t="shared" si="3"/>
        <v>0</v>
      </c>
      <c r="T325" s="52">
        <f t="shared" si="4"/>
        <v>0</v>
      </c>
      <c r="U325" s="52">
        <f t="shared" si="5"/>
        <v>0</v>
      </c>
      <c r="V325" s="52">
        <f t="shared" si="6"/>
        <v>0</v>
      </c>
      <c r="W325" s="52">
        <f t="shared" si="7"/>
        <v>0.4482</v>
      </c>
      <c r="X325" s="52">
        <f t="shared" si="8"/>
        <v>0.00012</v>
      </c>
    </row>
    <row r="326" ht="15.0" customHeight="1">
      <c r="A326" s="51">
        <v>68.0</v>
      </c>
      <c r="B326" s="51" t="s">
        <v>61</v>
      </c>
      <c r="C326" s="51">
        <v>224.0</v>
      </c>
      <c r="D326" s="51" t="s">
        <v>164</v>
      </c>
      <c r="E326" s="51" t="s">
        <v>165</v>
      </c>
      <c r="F326" s="51" t="s">
        <v>299</v>
      </c>
      <c r="G326" s="51" t="s">
        <v>300</v>
      </c>
      <c r="H326" s="52">
        <v>1.0</v>
      </c>
      <c r="I326" s="52">
        <v>1.0</v>
      </c>
      <c r="J326" s="52">
        <v>99.02</v>
      </c>
      <c r="K326" s="52">
        <f t="shared" si="70"/>
        <v>0.8954738094</v>
      </c>
      <c r="L326" s="52">
        <f t="shared" si="2"/>
        <v>2.686421428</v>
      </c>
      <c r="M326" s="52">
        <v>0.0</v>
      </c>
      <c r="N326" s="52">
        <v>0.0</v>
      </c>
      <c r="O326" s="52">
        <v>0.0</v>
      </c>
      <c r="P326" s="52">
        <v>0.0</v>
      </c>
      <c r="Q326" s="52">
        <v>0.0</v>
      </c>
      <c r="R326" s="52">
        <v>0.0</v>
      </c>
      <c r="S326" s="52">
        <f t="shared" si="3"/>
        <v>0</v>
      </c>
      <c r="T326" s="52">
        <f t="shared" si="4"/>
        <v>0</v>
      </c>
      <c r="U326" s="52">
        <f t="shared" si="5"/>
        <v>0</v>
      </c>
      <c r="V326" s="52">
        <f t="shared" si="6"/>
        <v>0</v>
      </c>
      <c r="W326" s="52">
        <f t="shared" si="7"/>
        <v>0</v>
      </c>
      <c r="X326" s="52">
        <f t="shared" si="8"/>
        <v>0</v>
      </c>
    </row>
    <row r="327" ht="15.0" customHeight="1">
      <c r="A327" s="51">
        <v>68.0</v>
      </c>
      <c r="B327" s="51" t="s">
        <v>61</v>
      </c>
      <c r="C327" s="51">
        <v>225.0</v>
      </c>
      <c r="D327" s="51" t="s">
        <v>164</v>
      </c>
      <c r="E327" s="51" t="s">
        <v>274</v>
      </c>
      <c r="F327" s="51" t="s">
        <v>299</v>
      </c>
      <c r="G327" s="51" t="s">
        <v>300</v>
      </c>
      <c r="H327" s="52">
        <v>0.5</v>
      </c>
      <c r="I327" s="52">
        <v>0.5</v>
      </c>
      <c r="J327" s="52">
        <v>99.05</v>
      </c>
      <c r="K327" s="52">
        <f t="shared" si="70"/>
        <v>0.4476012953</v>
      </c>
      <c r="L327" s="52">
        <f t="shared" si="2"/>
        <v>1.342803886</v>
      </c>
      <c r="M327" s="52">
        <v>0.0</v>
      </c>
      <c r="N327" s="52">
        <v>0.0</v>
      </c>
      <c r="O327" s="52">
        <v>0.0</v>
      </c>
      <c r="P327" s="52">
        <v>0.0</v>
      </c>
      <c r="Q327" s="52">
        <v>0.0</v>
      </c>
      <c r="R327" s="52">
        <v>0.0</v>
      </c>
      <c r="S327" s="52">
        <f t="shared" si="3"/>
        <v>0</v>
      </c>
      <c r="T327" s="52">
        <f t="shared" si="4"/>
        <v>0</v>
      </c>
      <c r="U327" s="52">
        <f t="shared" si="5"/>
        <v>0</v>
      </c>
      <c r="V327" s="52">
        <f t="shared" si="6"/>
        <v>0</v>
      </c>
      <c r="W327" s="52">
        <f t="shared" si="7"/>
        <v>0</v>
      </c>
      <c r="X327" s="52">
        <f t="shared" si="8"/>
        <v>0</v>
      </c>
    </row>
    <row r="328" ht="15.0" customHeight="1">
      <c r="A328" s="51">
        <v>69.0</v>
      </c>
      <c r="B328" s="51" t="s">
        <v>61</v>
      </c>
      <c r="C328" s="51">
        <v>188.0</v>
      </c>
      <c r="D328" s="51" t="s">
        <v>16</v>
      </c>
      <c r="E328" s="51" t="s">
        <v>19</v>
      </c>
      <c r="F328" s="51" t="s">
        <v>299</v>
      </c>
      <c r="G328" s="51" t="s">
        <v>300</v>
      </c>
      <c r="H328" s="52">
        <v>22.87</v>
      </c>
      <c r="I328" s="52">
        <v>22.87</v>
      </c>
      <c r="J328" s="52">
        <v>87.78</v>
      </c>
      <c r="K328" s="52">
        <f t="shared" ref="K328:K335" si="71">IF(J328&gt;0,(I328/J328)/SUMPRODUCT($I$328:$I$335/$J$328:$J$335)*100,"")</f>
        <v>23.1008024</v>
      </c>
      <c r="L328" s="52">
        <f t="shared" si="2"/>
        <v>69.30240719</v>
      </c>
      <c r="M328" s="52">
        <v>9.1</v>
      </c>
      <c r="N328" s="52">
        <v>86.03</v>
      </c>
      <c r="O328" s="52">
        <v>14.39</v>
      </c>
      <c r="P328" s="52">
        <v>4.18</v>
      </c>
      <c r="Q328" s="52">
        <v>0.03</v>
      </c>
      <c r="R328" s="52">
        <v>0.25</v>
      </c>
      <c r="S328" s="52">
        <f t="shared" si="3"/>
        <v>2.08117</v>
      </c>
      <c r="T328" s="52">
        <f t="shared" si="4"/>
        <v>19.675061</v>
      </c>
      <c r="U328" s="52">
        <f t="shared" si="5"/>
        <v>3.290993</v>
      </c>
      <c r="V328" s="52">
        <f t="shared" si="6"/>
        <v>0.955966</v>
      </c>
      <c r="W328" s="52">
        <f t="shared" si="7"/>
        <v>0.006861</v>
      </c>
      <c r="X328" s="52">
        <f t="shared" si="8"/>
        <v>0.057175</v>
      </c>
    </row>
    <row r="329" ht="15.0" customHeight="1">
      <c r="A329" s="51">
        <v>69.0</v>
      </c>
      <c r="B329" s="51" t="s">
        <v>61</v>
      </c>
      <c r="C329" s="51">
        <v>173.0</v>
      </c>
      <c r="D329" s="51" t="s">
        <v>16</v>
      </c>
      <c r="E329" s="51" t="s">
        <v>52</v>
      </c>
      <c r="F329" s="51" t="s">
        <v>299</v>
      </c>
      <c r="G329" s="51" t="s">
        <v>300</v>
      </c>
      <c r="H329" s="52">
        <v>22.6</v>
      </c>
      <c r="I329" s="52">
        <v>22.6</v>
      </c>
      <c r="J329" s="52">
        <v>90.57</v>
      </c>
      <c r="K329" s="52">
        <f t="shared" si="71"/>
        <v>22.12486088</v>
      </c>
      <c r="L329" s="52">
        <f t="shared" si="2"/>
        <v>66.37458263</v>
      </c>
      <c r="M329" s="52">
        <v>14.21</v>
      </c>
      <c r="N329" s="52">
        <v>75.24</v>
      </c>
      <c r="O329" s="52">
        <v>27.69</v>
      </c>
      <c r="P329" s="52">
        <v>5.13</v>
      </c>
      <c r="Q329" s="52">
        <v>0.13</v>
      </c>
      <c r="R329" s="52">
        <v>0.35</v>
      </c>
      <c r="S329" s="52">
        <f t="shared" si="3"/>
        <v>3.21146</v>
      </c>
      <c r="T329" s="52">
        <f t="shared" si="4"/>
        <v>17.00424</v>
      </c>
      <c r="U329" s="52">
        <f t="shared" si="5"/>
        <v>6.25794</v>
      </c>
      <c r="V329" s="52">
        <f t="shared" si="6"/>
        <v>1.15938</v>
      </c>
      <c r="W329" s="52">
        <f t="shared" si="7"/>
        <v>0.02938</v>
      </c>
      <c r="X329" s="52">
        <f t="shared" si="8"/>
        <v>0.0791</v>
      </c>
    </row>
    <row r="330" ht="15.0" customHeight="1">
      <c r="A330" s="51">
        <v>69.0</v>
      </c>
      <c r="B330" s="51" t="s">
        <v>61</v>
      </c>
      <c r="C330" s="51">
        <v>191.0</v>
      </c>
      <c r="D330" s="51" t="s">
        <v>16</v>
      </c>
      <c r="E330" s="51" t="s">
        <v>271</v>
      </c>
      <c r="F330" s="51" t="s">
        <v>299</v>
      </c>
      <c r="G330" s="51" t="s">
        <v>300</v>
      </c>
      <c r="H330" s="52">
        <v>22.87</v>
      </c>
      <c r="I330" s="52">
        <v>22.87</v>
      </c>
      <c r="J330" s="52">
        <v>88.26</v>
      </c>
      <c r="K330" s="52">
        <f t="shared" si="71"/>
        <v>22.97516921</v>
      </c>
      <c r="L330" s="52">
        <f t="shared" si="2"/>
        <v>68.92550763</v>
      </c>
      <c r="M330" s="52">
        <v>9.7</v>
      </c>
      <c r="N330" s="52">
        <v>78.8</v>
      </c>
      <c r="O330" s="52">
        <v>17.27</v>
      </c>
      <c r="P330" s="52">
        <v>2.96</v>
      </c>
      <c r="Q330" s="52">
        <v>0.04</v>
      </c>
      <c r="R330" s="52">
        <v>0.28</v>
      </c>
      <c r="S330" s="52">
        <f t="shared" si="3"/>
        <v>2.21839</v>
      </c>
      <c r="T330" s="52">
        <f t="shared" si="4"/>
        <v>18.02156</v>
      </c>
      <c r="U330" s="52">
        <f t="shared" si="5"/>
        <v>3.949649</v>
      </c>
      <c r="V330" s="52">
        <f t="shared" si="6"/>
        <v>0.676952</v>
      </c>
      <c r="W330" s="52">
        <f t="shared" si="7"/>
        <v>0.009148</v>
      </c>
      <c r="X330" s="52">
        <f t="shared" si="8"/>
        <v>0.064036</v>
      </c>
    </row>
    <row r="331" ht="15.0" customHeight="1">
      <c r="A331" s="51">
        <v>69.0</v>
      </c>
      <c r="B331" s="51" t="s">
        <v>61</v>
      </c>
      <c r="C331" s="51">
        <v>181.0</v>
      </c>
      <c r="D331" s="51" t="s">
        <v>16</v>
      </c>
      <c r="E331" s="51" t="s">
        <v>272</v>
      </c>
      <c r="F331" s="51" t="s">
        <v>299</v>
      </c>
      <c r="G331" s="51" t="s">
        <v>300</v>
      </c>
      <c r="H331" s="52">
        <v>7.000000000000001</v>
      </c>
      <c r="I331" s="52">
        <v>7.000000000000001</v>
      </c>
      <c r="J331" s="52">
        <v>83.98</v>
      </c>
      <c r="K331" s="52">
        <f t="shared" si="71"/>
        <v>7.390582117</v>
      </c>
      <c r="L331" s="52">
        <f t="shared" si="2"/>
        <v>22.17174635</v>
      </c>
      <c r="M331" s="52">
        <v>3.3</v>
      </c>
      <c r="N331" s="52">
        <v>69.75</v>
      </c>
      <c r="O331" s="52">
        <v>6.03</v>
      </c>
      <c r="P331" s="52">
        <v>1.36</v>
      </c>
      <c r="Q331" s="52">
        <v>1.7</v>
      </c>
      <c r="R331" s="52">
        <v>0.12</v>
      </c>
      <c r="S331" s="52">
        <f t="shared" si="3"/>
        <v>0.231</v>
      </c>
      <c r="T331" s="52">
        <f t="shared" si="4"/>
        <v>4.8825</v>
      </c>
      <c r="U331" s="52">
        <f t="shared" si="5"/>
        <v>0.4221</v>
      </c>
      <c r="V331" s="52">
        <f t="shared" si="6"/>
        <v>0.0952</v>
      </c>
      <c r="W331" s="52">
        <f t="shared" si="7"/>
        <v>0.119</v>
      </c>
      <c r="X331" s="52">
        <f t="shared" si="8"/>
        <v>0.0084</v>
      </c>
    </row>
    <row r="332" ht="15.0" customHeight="1">
      <c r="A332" s="51">
        <v>69.0</v>
      </c>
      <c r="B332" s="51" t="s">
        <v>61</v>
      </c>
      <c r="C332" s="51">
        <v>208.0</v>
      </c>
      <c r="D332" s="51" t="s">
        <v>22</v>
      </c>
      <c r="E332" s="51" t="s">
        <v>23</v>
      </c>
      <c r="F332" s="51" t="s">
        <v>299</v>
      </c>
      <c r="G332" s="51" t="s">
        <v>300</v>
      </c>
      <c r="H332" s="52">
        <v>21.91</v>
      </c>
      <c r="I332" s="52">
        <v>21.91</v>
      </c>
      <c r="J332" s="52">
        <v>88.48</v>
      </c>
      <c r="K332" s="52">
        <f t="shared" si="71"/>
        <v>21.95602622</v>
      </c>
      <c r="L332" s="52">
        <f t="shared" si="2"/>
        <v>65.86807865</v>
      </c>
      <c r="M332" s="52">
        <v>48.76</v>
      </c>
      <c r="N332" s="52">
        <v>80.73</v>
      </c>
      <c r="O332" s="52">
        <v>15.37</v>
      </c>
      <c r="P332" s="52">
        <v>1.75</v>
      </c>
      <c r="Q332" s="52">
        <v>0.33</v>
      </c>
      <c r="R332" s="52">
        <v>0.57</v>
      </c>
      <c r="S332" s="52">
        <f t="shared" si="3"/>
        <v>10.683316</v>
      </c>
      <c r="T332" s="52">
        <f t="shared" si="4"/>
        <v>17.687943</v>
      </c>
      <c r="U332" s="52">
        <f t="shared" si="5"/>
        <v>3.367567</v>
      </c>
      <c r="V332" s="52">
        <f t="shared" si="6"/>
        <v>0.383425</v>
      </c>
      <c r="W332" s="52">
        <f t="shared" si="7"/>
        <v>0.072303</v>
      </c>
      <c r="X332" s="52">
        <f t="shared" si="8"/>
        <v>0.124887</v>
      </c>
    </row>
    <row r="333" ht="15.0" customHeight="1">
      <c r="A333" s="51">
        <v>69.0</v>
      </c>
      <c r="B333" s="51" t="s">
        <v>61</v>
      </c>
      <c r="C333" s="51">
        <v>213.0</v>
      </c>
      <c r="D333" s="51" t="s">
        <v>24</v>
      </c>
      <c r="E333" s="51" t="s">
        <v>26</v>
      </c>
      <c r="F333" s="51" t="s">
        <v>299</v>
      </c>
      <c r="G333" s="51" t="s">
        <v>300</v>
      </c>
      <c r="H333" s="52">
        <v>1.25</v>
      </c>
      <c r="I333" s="52">
        <v>1.25</v>
      </c>
      <c r="J333" s="52">
        <v>99.89</v>
      </c>
      <c r="K333" s="52">
        <f t="shared" si="71"/>
        <v>1.109543866</v>
      </c>
      <c r="L333" s="52">
        <f t="shared" si="2"/>
        <v>3.328631599</v>
      </c>
      <c r="M333" s="52">
        <v>0.0</v>
      </c>
      <c r="N333" s="52">
        <v>0.0</v>
      </c>
      <c r="O333" s="52">
        <v>0.0</v>
      </c>
      <c r="P333" s="52">
        <v>0.0</v>
      </c>
      <c r="Q333" s="52">
        <v>37.35</v>
      </c>
      <c r="R333" s="52">
        <v>0.01</v>
      </c>
      <c r="S333" s="52">
        <f t="shared" si="3"/>
        <v>0</v>
      </c>
      <c r="T333" s="52">
        <f t="shared" si="4"/>
        <v>0</v>
      </c>
      <c r="U333" s="52">
        <f t="shared" si="5"/>
        <v>0</v>
      </c>
      <c r="V333" s="52">
        <f t="shared" si="6"/>
        <v>0</v>
      </c>
      <c r="W333" s="52">
        <f t="shared" si="7"/>
        <v>0.466875</v>
      </c>
      <c r="X333" s="52">
        <f t="shared" si="8"/>
        <v>0.000125</v>
      </c>
    </row>
    <row r="334" ht="15.0" customHeight="1">
      <c r="A334" s="51">
        <v>69.0</v>
      </c>
      <c r="B334" s="51" t="s">
        <v>61</v>
      </c>
      <c r="C334" s="51">
        <v>224.0</v>
      </c>
      <c r="D334" s="51" t="s">
        <v>164</v>
      </c>
      <c r="E334" s="51" t="s">
        <v>165</v>
      </c>
      <c r="F334" s="51" t="s">
        <v>299</v>
      </c>
      <c r="G334" s="51" t="s">
        <v>300</v>
      </c>
      <c r="H334" s="52">
        <v>1.0</v>
      </c>
      <c r="I334" s="52">
        <v>1.0</v>
      </c>
      <c r="J334" s="52">
        <v>99.02</v>
      </c>
      <c r="K334" s="52">
        <f t="shared" si="71"/>
        <v>0.8954339472</v>
      </c>
      <c r="L334" s="52">
        <f t="shared" si="2"/>
        <v>2.686301842</v>
      </c>
      <c r="M334" s="52">
        <v>0.0</v>
      </c>
      <c r="N334" s="52">
        <v>0.0</v>
      </c>
      <c r="O334" s="52">
        <v>0.0</v>
      </c>
      <c r="P334" s="52">
        <v>0.0</v>
      </c>
      <c r="Q334" s="52">
        <v>0.0</v>
      </c>
      <c r="R334" s="52">
        <v>0.0</v>
      </c>
      <c r="S334" s="52">
        <f t="shared" si="3"/>
        <v>0</v>
      </c>
      <c r="T334" s="52">
        <f t="shared" si="4"/>
        <v>0</v>
      </c>
      <c r="U334" s="52">
        <f t="shared" si="5"/>
        <v>0</v>
      </c>
      <c r="V334" s="52">
        <f t="shared" si="6"/>
        <v>0</v>
      </c>
      <c r="W334" s="52">
        <f t="shared" si="7"/>
        <v>0</v>
      </c>
      <c r="X334" s="52">
        <f t="shared" si="8"/>
        <v>0</v>
      </c>
    </row>
    <row r="335" ht="15.0" customHeight="1">
      <c r="A335" s="51">
        <v>69.0</v>
      </c>
      <c r="B335" s="51" t="s">
        <v>61</v>
      </c>
      <c r="C335" s="51">
        <v>225.0</v>
      </c>
      <c r="D335" s="51" t="s">
        <v>164</v>
      </c>
      <c r="E335" s="51" t="s">
        <v>274</v>
      </c>
      <c r="F335" s="51" t="s">
        <v>299</v>
      </c>
      <c r="G335" s="51" t="s">
        <v>300</v>
      </c>
      <c r="H335" s="52">
        <v>0.5</v>
      </c>
      <c r="I335" s="52">
        <v>0.5</v>
      </c>
      <c r="J335" s="52">
        <v>99.05</v>
      </c>
      <c r="K335" s="52">
        <f t="shared" si="71"/>
        <v>0.4475813703</v>
      </c>
      <c r="L335" s="52">
        <f t="shared" si="2"/>
        <v>1.342744111</v>
      </c>
      <c r="M335" s="52">
        <v>0.0</v>
      </c>
      <c r="N335" s="52">
        <v>0.0</v>
      </c>
      <c r="O335" s="52">
        <v>0.0</v>
      </c>
      <c r="P335" s="52">
        <v>0.0</v>
      </c>
      <c r="Q335" s="52">
        <v>0.0</v>
      </c>
      <c r="R335" s="52">
        <v>0.0</v>
      </c>
      <c r="S335" s="52">
        <f t="shared" si="3"/>
        <v>0</v>
      </c>
      <c r="T335" s="52">
        <f t="shared" si="4"/>
        <v>0</v>
      </c>
      <c r="U335" s="52">
        <f t="shared" si="5"/>
        <v>0</v>
      </c>
      <c r="V335" s="52">
        <f t="shared" si="6"/>
        <v>0</v>
      </c>
      <c r="W335" s="52">
        <f t="shared" si="7"/>
        <v>0</v>
      </c>
      <c r="X335" s="52">
        <f t="shared" si="8"/>
        <v>0</v>
      </c>
    </row>
    <row r="336" ht="15.0" customHeight="1">
      <c r="A336" s="51">
        <v>70.0</v>
      </c>
      <c r="B336" s="51" t="s">
        <v>61</v>
      </c>
      <c r="C336" s="51">
        <v>188.0</v>
      </c>
      <c r="D336" s="51" t="s">
        <v>16</v>
      </c>
      <c r="E336" s="51" t="s">
        <v>19</v>
      </c>
      <c r="F336" s="51" t="s">
        <v>299</v>
      </c>
      <c r="G336" s="51" t="s">
        <v>300</v>
      </c>
      <c r="H336" s="52">
        <v>37.11</v>
      </c>
      <c r="I336" s="52">
        <v>37.11</v>
      </c>
      <c r="J336" s="52">
        <v>87.78</v>
      </c>
      <c r="K336" s="52">
        <f t="shared" ref="K336:K343" si="72">IF(J336&gt;0,(I336/J336)/SUMPRODUCT($I$336:$I$343/$J$336:$J$343)*100,"")</f>
        <v>37.38436916</v>
      </c>
      <c r="L336" s="52">
        <f t="shared" si="2"/>
        <v>112.1531075</v>
      </c>
      <c r="M336" s="52">
        <v>9.1</v>
      </c>
      <c r="N336" s="52">
        <v>86.03</v>
      </c>
      <c r="O336" s="52">
        <v>14.39</v>
      </c>
      <c r="P336" s="52">
        <v>4.18</v>
      </c>
      <c r="Q336" s="52">
        <v>0.03</v>
      </c>
      <c r="R336" s="52">
        <v>0.25</v>
      </c>
      <c r="S336" s="52">
        <f t="shared" si="3"/>
        <v>3.37701</v>
      </c>
      <c r="T336" s="52">
        <f t="shared" si="4"/>
        <v>31.925733</v>
      </c>
      <c r="U336" s="52">
        <f t="shared" si="5"/>
        <v>5.340129</v>
      </c>
      <c r="V336" s="52">
        <f t="shared" si="6"/>
        <v>1.551198</v>
      </c>
      <c r="W336" s="52">
        <f t="shared" si="7"/>
        <v>0.011133</v>
      </c>
      <c r="X336" s="52">
        <f t="shared" si="8"/>
        <v>0.092775</v>
      </c>
    </row>
    <row r="337" ht="15.0" customHeight="1">
      <c r="A337" s="51">
        <v>70.0</v>
      </c>
      <c r="B337" s="51" t="s">
        <v>61</v>
      </c>
      <c r="C337" s="51">
        <v>173.0</v>
      </c>
      <c r="D337" s="51" t="s">
        <v>16</v>
      </c>
      <c r="E337" s="51" t="s">
        <v>52</v>
      </c>
      <c r="F337" s="51" t="s">
        <v>299</v>
      </c>
      <c r="G337" s="51" t="s">
        <v>300</v>
      </c>
      <c r="H337" s="52">
        <v>7.780000000000001</v>
      </c>
      <c r="I337" s="52">
        <v>7.780000000000001</v>
      </c>
      <c r="J337" s="52">
        <v>90.57</v>
      </c>
      <c r="K337" s="52">
        <f t="shared" si="72"/>
        <v>7.596086612</v>
      </c>
      <c r="L337" s="52">
        <f t="shared" si="2"/>
        <v>22.78825984</v>
      </c>
      <c r="M337" s="52">
        <v>14.21</v>
      </c>
      <c r="N337" s="52">
        <v>75.24</v>
      </c>
      <c r="O337" s="52">
        <v>27.69</v>
      </c>
      <c r="P337" s="52">
        <v>5.13</v>
      </c>
      <c r="Q337" s="52">
        <v>0.13</v>
      </c>
      <c r="R337" s="52">
        <v>0.35</v>
      </c>
      <c r="S337" s="52">
        <f t="shared" si="3"/>
        <v>1.105538</v>
      </c>
      <c r="T337" s="52">
        <f t="shared" si="4"/>
        <v>5.853672</v>
      </c>
      <c r="U337" s="52">
        <f t="shared" si="5"/>
        <v>2.154282</v>
      </c>
      <c r="V337" s="52">
        <f t="shared" si="6"/>
        <v>0.399114</v>
      </c>
      <c r="W337" s="52">
        <f t="shared" si="7"/>
        <v>0.010114</v>
      </c>
      <c r="X337" s="52">
        <f t="shared" si="8"/>
        <v>0.02723</v>
      </c>
    </row>
    <row r="338" ht="15.0" customHeight="1">
      <c r="A338" s="51">
        <v>70.0</v>
      </c>
      <c r="B338" s="51" t="s">
        <v>61</v>
      </c>
      <c r="C338" s="51">
        <v>191.0</v>
      </c>
      <c r="D338" s="51" t="s">
        <v>16</v>
      </c>
      <c r="E338" s="51" t="s">
        <v>271</v>
      </c>
      <c r="F338" s="51" t="s">
        <v>299</v>
      </c>
      <c r="G338" s="51" t="s">
        <v>300</v>
      </c>
      <c r="H338" s="52">
        <v>8.22</v>
      </c>
      <c r="I338" s="52">
        <v>8.22</v>
      </c>
      <c r="J338" s="52">
        <v>88.26</v>
      </c>
      <c r="K338" s="52">
        <f t="shared" si="72"/>
        <v>8.235738968</v>
      </c>
      <c r="L338" s="52">
        <f t="shared" si="2"/>
        <v>24.70721691</v>
      </c>
      <c r="M338" s="52">
        <v>9.7</v>
      </c>
      <c r="N338" s="52">
        <v>78.8</v>
      </c>
      <c r="O338" s="52">
        <v>17.27</v>
      </c>
      <c r="P338" s="52">
        <v>2.96</v>
      </c>
      <c r="Q338" s="52">
        <v>0.04</v>
      </c>
      <c r="R338" s="52">
        <v>0.28</v>
      </c>
      <c r="S338" s="52">
        <f t="shared" si="3"/>
        <v>0.79734</v>
      </c>
      <c r="T338" s="52">
        <f t="shared" si="4"/>
        <v>6.47736</v>
      </c>
      <c r="U338" s="52">
        <f t="shared" si="5"/>
        <v>1.419594</v>
      </c>
      <c r="V338" s="52">
        <f t="shared" si="6"/>
        <v>0.243312</v>
      </c>
      <c r="W338" s="52">
        <f t="shared" si="7"/>
        <v>0.003288</v>
      </c>
      <c r="X338" s="52">
        <f t="shared" si="8"/>
        <v>0.023016</v>
      </c>
    </row>
    <row r="339" ht="15.0" customHeight="1">
      <c r="A339" s="51">
        <v>70.0</v>
      </c>
      <c r="B339" s="51" t="s">
        <v>61</v>
      </c>
      <c r="C339" s="51">
        <v>181.0</v>
      </c>
      <c r="D339" s="51" t="s">
        <v>16</v>
      </c>
      <c r="E339" s="51" t="s">
        <v>272</v>
      </c>
      <c r="F339" s="51" t="s">
        <v>299</v>
      </c>
      <c r="G339" s="51" t="s">
        <v>300</v>
      </c>
      <c r="H339" s="52">
        <v>5.0</v>
      </c>
      <c r="I339" s="52">
        <v>5.0</v>
      </c>
      <c r="J339" s="52">
        <v>83.98</v>
      </c>
      <c r="K339" s="52">
        <f t="shared" si="72"/>
        <v>5.264884072</v>
      </c>
      <c r="L339" s="52">
        <f t="shared" si="2"/>
        <v>15.79465221</v>
      </c>
      <c r="M339" s="52">
        <v>3.3</v>
      </c>
      <c r="N339" s="52">
        <v>69.75</v>
      </c>
      <c r="O339" s="52">
        <v>6.03</v>
      </c>
      <c r="P339" s="52">
        <v>1.36</v>
      </c>
      <c r="Q339" s="52">
        <v>1.7</v>
      </c>
      <c r="R339" s="52">
        <v>0.12</v>
      </c>
      <c r="S339" s="52">
        <f t="shared" si="3"/>
        <v>0.165</v>
      </c>
      <c r="T339" s="52">
        <f t="shared" si="4"/>
        <v>3.4875</v>
      </c>
      <c r="U339" s="52">
        <f t="shared" si="5"/>
        <v>0.3015</v>
      </c>
      <c r="V339" s="52">
        <f t="shared" si="6"/>
        <v>0.068</v>
      </c>
      <c r="W339" s="52">
        <f t="shared" si="7"/>
        <v>0.085</v>
      </c>
      <c r="X339" s="52">
        <f t="shared" si="8"/>
        <v>0.006</v>
      </c>
    </row>
    <row r="340" ht="15.0" customHeight="1">
      <c r="A340" s="51">
        <v>70.0</v>
      </c>
      <c r="B340" s="51" t="s">
        <v>61</v>
      </c>
      <c r="C340" s="51">
        <v>208.0</v>
      </c>
      <c r="D340" s="51" t="s">
        <v>22</v>
      </c>
      <c r="E340" s="51" t="s">
        <v>23</v>
      </c>
      <c r="F340" s="51" t="s">
        <v>299</v>
      </c>
      <c r="G340" s="51" t="s">
        <v>300</v>
      </c>
      <c r="H340" s="52">
        <v>38.75</v>
      </c>
      <c r="I340" s="52">
        <v>38.75</v>
      </c>
      <c r="J340" s="52">
        <v>88.48</v>
      </c>
      <c r="K340" s="52">
        <f t="shared" si="72"/>
        <v>38.72766132</v>
      </c>
      <c r="L340" s="52">
        <f t="shared" si="2"/>
        <v>116.182984</v>
      </c>
      <c r="M340" s="52">
        <v>48.76</v>
      </c>
      <c r="N340" s="52">
        <v>80.73</v>
      </c>
      <c r="O340" s="52">
        <v>15.37</v>
      </c>
      <c r="P340" s="52">
        <v>1.75</v>
      </c>
      <c r="Q340" s="52">
        <v>0.33</v>
      </c>
      <c r="R340" s="52">
        <v>0.57</v>
      </c>
      <c r="S340" s="52">
        <f t="shared" si="3"/>
        <v>18.8945</v>
      </c>
      <c r="T340" s="52">
        <f t="shared" si="4"/>
        <v>31.282875</v>
      </c>
      <c r="U340" s="52">
        <f t="shared" si="5"/>
        <v>5.955875</v>
      </c>
      <c r="V340" s="52">
        <f t="shared" si="6"/>
        <v>0.678125</v>
      </c>
      <c r="W340" s="52">
        <f t="shared" si="7"/>
        <v>0.127875</v>
      </c>
      <c r="X340" s="52">
        <f t="shared" si="8"/>
        <v>0.220875</v>
      </c>
    </row>
    <row r="341" ht="15.0" customHeight="1">
      <c r="A341" s="51">
        <v>70.0</v>
      </c>
      <c r="B341" s="51" t="s">
        <v>61</v>
      </c>
      <c r="C341" s="51">
        <v>213.0</v>
      </c>
      <c r="D341" s="51" t="s">
        <v>24</v>
      </c>
      <c r="E341" s="51" t="s">
        <v>26</v>
      </c>
      <c r="F341" s="51" t="s">
        <v>299</v>
      </c>
      <c r="G341" s="51" t="s">
        <v>300</v>
      </c>
      <c r="H341" s="52">
        <v>1.6399999999999997</v>
      </c>
      <c r="I341" s="52">
        <v>1.6399999999999997</v>
      </c>
      <c r="J341" s="52">
        <v>99.89</v>
      </c>
      <c r="K341" s="52">
        <f t="shared" si="72"/>
        <v>1.451832499</v>
      </c>
      <c r="L341" s="52">
        <f t="shared" si="2"/>
        <v>4.355497496</v>
      </c>
      <c r="M341" s="52">
        <v>0.0</v>
      </c>
      <c r="N341" s="52">
        <v>0.0</v>
      </c>
      <c r="O341" s="52">
        <v>0.0</v>
      </c>
      <c r="P341" s="52">
        <v>0.0</v>
      </c>
      <c r="Q341" s="52">
        <v>37.35</v>
      </c>
      <c r="R341" s="52">
        <v>0.01</v>
      </c>
      <c r="S341" s="52">
        <f t="shared" si="3"/>
        <v>0</v>
      </c>
      <c r="T341" s="52">
        <f t="shared" si="4"/>
        <v>0</v>
      </c>
      <c r="U341" s="52">
        <f t="shared" si="5"/>
        <v>0</v>
      </c>
      <c r="V341" s="52">
        <f t="shared" si="6"/>
        <v>0</v>
      </c>
      <c r="W341" s="52">
        <f t="shared" si="7"/>
        <v>0.61254</v>
      </c>
      <c r="X341" s="52">
        <f t="shared" si="8"/>
        <v>0.000164</v>
      </c>
    </row>
    <row r="342" ht="15.0" customHeight="1">
      <c r="A342" s="51">
        <v>70.0</v>
      </c>
      <c r="B342" s="51" t="s">
        <v>61</v>
      </c>
      <c r="C342" s="51">
        <v>224.0</v>
      </c>
      <c r="D342" s="51" t="s">
        <v>164</v>
      </c>
      <c r="E342" s="51" t="s">
        <v>165</v>
      </c>
      <c r="F342" s="51" t="s">
        <v>299</v>
      </c>
      <c r="G342" s="51" t="s">
        <v>300</v>
      </c>
      <c r="H342" s="52">
        <v>1.0</v>
      </c>
      <c r="I342" s="52">
        <v>1.0</v>
      </c>
      <c r="J342" s="52">
        <v>99.02</v>
      </c>
      <c r="K342" s="52">
        <f t="shared" si="72"/>
        <v>0.8930417377</v>
      </c>
      <c r="L342" s="52">
        <f t="shared" si="2"/>
        <v>2.679125213</v>
      </c>
      <c r="M342" s="52">
        <v>0.0</v>
      </c>
      <c r="N342" s="52">
        <v>0.0</v>
      </c>
      <c r="O342" s="52">
        <v>0.0</v>
      </c>
      <c r="P342" s="52">
        <v>0.0</v>
      </c>
      <c r="Q342" s="52">
        <v>0.0</v>
      </c>
      <c r="R342" s="52">
        <v>0.0</v>
      </c>
      <c r="S342" s="52">
        <f t="shared" si="3"/>
        <v>0</v>
      </c>
      <c r="T342" s="52">
        <f t="shared" si="4"/>
        <v>0</v>
      </c>
      <c r="U342" s="52">
        <f t="shared" si="5"/>
        <v>0</v>
      </c>
      <c r="V342" s="52">
        <f t="shared" si="6"/>
        <v>0</v>
      </c>
      <c r="W342" s="52">
        <f t="shared" si="7"/>
        <v>0</v>
      </c>
      <c r="X342" s="52">
        <f t="shared" si="8"/>
        <v>0</v>
      </c>
    </row>
    <row r="343" ht="15.0" customHeight="1">
      <c r="A343" s="51">
        <v>70.0</v>
      </c>
      <c r="B343" s="51" t="s">
        <v>61</v>
      </c>
      <c r="C343" s="51">
        <v>225.0</v>
      </c>
      <c r="D343" s="51" t="s">
        <v>164</v>
      </c>
      <c r="E343" s="51" t="s">
        <v>274</v>
      </c>
      <c r="F343" s="51" t="s">
        <v>299</v>
      </c>
      <c r="G343" s="51" t="s">
        <v>300</v>
      </c>
      <c r="H343" s="52">
        <v>0.5</v>
      </c>
      <c r="I343" s="52">
        <v>0.5</v>
      </c>
      <c r="J343" s="52">
        <v>99.05</v>
      </c>
      <c r="K343" s="52">
        <f t="shared" si="72"/>
        <v>0.4463856278</v>
      </c>
      <c r="L343" s="52">
        <f t="shared" si="2"/>
        <v>1.339156883</v>
      </c>
      <c r="M343" s="52">
        <v>0.0</v>
      </c>
      <c r="N343" s="52">
        <v>0.0</v>
      </c>
      <c r="O343" s="52">
        <v>0.0</v>
      </c>
      <c r="P343" s="52">
        <v>0.0</v>
      </c>
      <c r="Q343" s="52">
        <v>0.0</v>
      </c>
      <c r="R343" s="52">
        <v>0.0</v>
      </c>
      <c r="S343" s="52">
        <f t="shared" si="3"/>
        <v>0</v>
      </c>
      <c r="T343" s="52">
        <f t="shared" si="4"/>
        <v>0</v>
      </c>
      <c r="U343" s="52">
        <f t="shared" si="5"/>
        <v>0</v>
      </c>
      <c r="V343" s="52">
        <f t="shared" si="6"/>
        <v>0</v>
      </c>
      <c r="W343" s="52">
        <f t="shared" si="7"/>
        <v>0</v>
      </c>
      <c r="X343" s="52">
        <f t="shared" si="8"/>
        <v>0</v>
      </c>
    </row>
    <row r="344" ht="15.0" customHeight="1">
      <c r="A344" s="51">
        <v>71.0</v>
      </c>
      <c r="B344" s="51" t="s">
        <v>61</v>
      </c>
      <c r="C344" s="51">
        <v>188.0</v>
      </c>
      <c r="D344" s="51" t="s">
        <v>16</v>
      </c>
      <c r="E344" s="51" t="s">
        <v>19</v>
      </c>
      <c r="F344" s="51" t="s">
        <v>299</v>
      </c>
      <c r="G344" s="51" t="s">
        <v>300</v>
      </c>
      <c r="H344" s="52">
        <v>30.7</v>
      </c>
      <c r="I344" s="52">
        <v>30.7</v>
      </c>
      <c r="J344" s="52">
        <v>87.78</v>
      </c>
      <c r="K344" s="52">
        <f t="shared" ref="K344:K351" si="73">IF(J344&gt;0,(I344/J344)/SUMPRODUCT($I$344:$I$351/$J$344:$J$351)*100,"")</f>
        <v>31.03903219</v>
      </c>
      <c r="L344" s="52">
        <f t="shared" si="2"/>
        <v>93.11709656</v>
      </c>
      <c r="M344" s="52">
        <v>9.1</v>
      </c>
      <c r="N344" s="52">
        <v>86.03</v>
      </c>
      <c r="O344" s="52">
        <v>14.39</v>
      </c>
      <c r="P344" s="52">
        <v>4.18</v>
      </c>
      <c r="Q344" s="52">
        <v>0.03</v>
      </c>
      <c r="R344" s="52">
        <v>0.25</v>
      </c>
      <c r="S344" s="52">
        <f t="shared" si="3"/>
        <v>2.7937</v>
      </c>
      <c r="T344" s="52">
        <f t="shared" si="4"/>
        <v>26.41121</v>
      </c>
      <c r="U344" s="52">
        <f t="shared" si="5"/>
        <v>4.41773</v>
      </c>
      <c r="V344" s="52">
        <f t="shared" si="6"/>
        <v>1.28326</v>
      </c>
      <c r="W344" s="52">
        <f t="shared" si="7"/>
        <v>0.00921</v>
      </c>
      <c r="X344" s="52">
        <f t="shared" si="8"/>
        <v>0.07675</v>
      </c>
    </row>
    <row r="345" ht="15.0" customHeight="1">
      <c r="A345" s="51">
        <v>71.0</v>
      </c>
      <c r="B345" s="51" t="s">
        <v>61</v>
      </c>
      <c r="C345" s="51">
        <v>173.0</v>
      </c>
      <c r="D345" s="51" t="s">
        <v>16</v>
      </c>
      <c r="E345" s="51" t="s">
        <v>52</v>
      </c>
      <c r="F345" s="51" t="s">
        <v>299</v>
      </c>
      <c r="G345" s="51" t="s">
        <v>300</v>
      </c>
      <c r="H345" s="52">
        <v>22.67</v>
      </c>
      <c r="I345" s="52">
        <v>22.67</v>
      </c>
      <c r="J345" s="52">
        <v>90.57</v>
      </c>
      <c r="K345" s="52">
        <f t="shared" si="73"/>
        <v>22.21429448</v>
      </c>
      <c r="L345" s="52">
        <f t="shared" si="2"/>
        <v>66.64288343</v>
      </c>
      <c r="M345" s="52">
        <v>14.21</v>
      </c>
      <c r="N345" s="52">
        <v>75.24</v>
      </c>
      <c r="O345" s="52">
        <v>27.69</v>
      </c>
      <c r="P345" s="52">
        <v>5.13</v>
      </c>
      <c r="Q345" s="52">
        <v>0.13</v>
      </c>
      <c r="R345" s="52">
        <v>0.35</v>
      </c>
      <c r="S345" s="52">
        <f t="shared" si="3"/>
        <v>3.221407</v>
      </c>
      <c r="T345" s="52">
        <f t="shared" si="4"/>
        <v>17.056908</v>
      </c>
      <c r="U345" s="52">
        <f t="shared" si="5"/>
        <v>6.277323</v>
      </c>
      <c r="V345" s="52">
        <f t="shared" si="6"/>
        <v>1.162971</v>
      </c>
      <c r="W345" s="52">
        <f t="shared" si="7"/>
        <v>0.029471</v>
      </c>
      <c r="X345" s="52">
        <f t="shared" si="8"/>
        <v>0.079345</v>
      </c>
    </row>
    <row r="346" ht="15.0" customHeight="1">
      <c r="A346" s="51">
        <v>71.0</v>
      </c>
      <c r="B346" s="51" t="s">
        <v>61</v>
      </c>
      <c r="C346" s="51">
        <v>191.0</v>
      </c>
      <c r="D346" s="51" t="s">
        <v>16</v>
      </c>
      <c r="E346" s="51" t="s">
        <v>271</v>
      </c>
      <c r="F346" s="51" t="s">
        <v>299</v>
      </c>
      <c r="G346" s="51" t="s">
        <v>300</v>
      </c>
      <c r="H346" s="52">
        <v>16.16</v>
      </c>
      <c r="I346" s="52">
        <v>16.16</v>
      </c>
      <c r="J346" s="52">
        <v>88.26</v>
      </c>
      <c r="K346" s="52">
        <f t="shared" si="73"/>
        <v>16.24960489</v>
      </c>
      <c r="L346" s="52">
        <f t="shared" si="2"/>
        <v>48.74881468</v>
      </c>
      <c r="M346" s="52">
        <v>9.7</v>
      </c>
      <c r="N346" s="52">
        <v>78.8</v>
      </c>
      <c r="O346" s="52">
        <v>17.27</v>
      </c>
      <c r="P346" s="52">
        <v>2.96</v>
      </c>
      <c r="Q346" s="52">
        <v>0.04</v>
      </c>
      <c r="R346" s="52">
        <v>0.28</v>
      </c>
      <c r="S346" s="52">
        <f t="shared" si="3"/>
        <v>1.56752</v>
      </c>
      <c r="T346" s="52">
        <f t="shared" si="4"/>
        <v>12.73408</v>
      </c>
      <c r="U346" s="52">
        <f t="shared" si="5"/>
        <v>2.790832</v>
      </c>
      <c r="V346" s="52">
        <f t="shared" si="6"/>
        <v>0.478336</v>
      </c>
      <c r="W346" s="52">
        <f t="shared" si="7"/>
        <v>0.006464</v>
      </c>
      <c r="X346" s="52">
        <f t="shared" si="8"/>
        <v>0.045248</v>
      </c>
    </row>
    <row r="347" ht="15.0" customHeight="1">
      <c r="A347" s="51">
        <v>71.0</v>
      </c>
      <c r="B347" s="51" t="s">
        <v>61</v>
      </c>
      <c r="C347" s="51">
        <v>181.0</v>
      </c>
      <c r="D347" s="51" t="s">
        <v>16</v>
      </c>
      <c r="E347" s="51" t="s">
        <v>272</v>
      </c>
      <c r="F347" s="51" t="s">
        <v>299</v>
      </c>
      <c r="G347" s="51" t="s">
        <v>300</v>
      </c>
      <c r="H347" s="52">
        <v>5.0</v>
      </c>
      <c r="I347" s="52">
        <v>5.0</v>
      </c>
      <c r="J347" s="52">
        <v>83.98</v>
      </c>
      <c r="K347" s="52">
        <f t="shared" si="73"/>
        <v>5.283959818</v>
      </c>
      <c r="L347" s="52">
        <f t="shared" si="2"/>
        <v>15.85187945</v>
      </c>
      <c r="M347" s="52">
        <v>3.3</v>
      </c>
      <c r="N347" s="52">
        <v>69.75</v>
      </c>
      <c r="O347" s="52">
        <v>6.03</v>
      </c>
      <c r="P347" s="52">
        <v>1.36</v>
      </c>
      <c r="Q347" s="52">
        <v>1.7</v>
      </c>
      <c r="R347" s="52">
        <v>0.12</v>
      </c>
      <c r="S347" s="52">
        <f t="shared" si="3"/>
        <v>0.165</v>
      </c>
      <c r="T347" s="52">
        <f t="shared" si="4"/>
        <v>3.4875</v>
      </c>
      <c r="U347" s="52">
        <f t="shared" si="5"/>
        <v>0.3015</v>
      </c>
      <c r="V347" s="52">
        <f t="shared" si="6"/>
        <v>0.068</v>
      </c>
      <c r="W347" s="52">
        <f t="shared" si="7"/>
        <v>0.085</v>
      </c>
      <c r="X347" s="52">
        <f t="shared" si="8"/>
        <v>0.006</v>
      </c>
    </row>
    <row r="348" ht="15.0" customHeight="1">
      <c r="A348" s="51">
        <v>71.0</v>
      </c>
      <c r="B348" s="51" t="s">
        <v>61</v>
      </c>
      <c r="C348" s="51">
        <v>208.0</v>
      </c>
      <c r="D348" s="51" t="s">
        <v>22</v>
      </c>
      <c r="E348" s="51" t="s">
        <v>23</v>
      </c>
      <c r="F348" s="51" t="s">
        <v>299</v>
      </c>
      <c r="G348" s="51" t="s">
        <v>300</v>
      </c>
      <c r="H348" s="52">
        <v>22.45</v>
      </c>
      <c r="I348" s="52">
        <v>22.45</v>
      </c>
      <c r="J348" s="52">
        <v>88.48</v>
      </c>
      <c r="K348" s="52">
        <f t="shared" si="73"/>
        <v>22.518352</v>
      </c>
      <c r="L348" s="52">
        <f t="shared" si="2"/>
        <v>67.55505601</v>
      </c>
      <c r="M348" s="52">
        <v>48.76</v>
      </c>
      <c r="N348" s="52">
        <v>80.73</v>
      </c>
      <c r="O348" s="52">
        <v>15.37</v>
      </c>
      <c r="P348" s="52">
        <v>1.75</v>
      </c>
      <c r="Q348" s="52">
        <v>0.33</v>
      </c>
      <c r="R348" s="52">
        <v>0.57</v>
      </c>
      <c r="S348" s="52">
        <f t="shared" si="3"/>
        <v>10.94662</v>
      </c>
      <c r="T348" s="52">
        <f t="shared" si="4"/>
        <v>18.123885</v>
      </c>
      <c r="U348" s="52">
        <f t="shared" si="5"/>
        <v>3.450565</v>
      </c>
      <c r="V348" s="52">
        <f t="shared" si="6"/>
        <v>0.392875</v>
      </c>
      <c r="W348" s="52">
        <f t="shared" si="7"/>
        <v>0.074085</v>
      </c>
      <c r="X348" s="52">
        <f t="shared" si="8"/>
        <v>0.127965</v>
      </c>
    </row>
    <row r="349" ht="15.0" customHeight="1">
      <c r="A349" s="51">
        <v>71.0</v>
      </c>
      <c r="B349" s="51" t="s">
        <v>61</v>
      </c>
      <c r="C349" s="51">
        <v>213.0</v>
      </c>
      <c r="D349" s="51" t="s">
        <v>24</v>
      </c>
      <c r="E349" s="51" t="s">
        <v>26</v>
      </c>
      <c r="F349" s="51" t="s">
        <v>299</v>
      </c>
      <c r="G349" s="51" t="s">
        <v>300</v>
      </c>
      <c r="H349" s="52">
        <v>1.52</v>
      </c>
      <c r="I349" s="52">
        <v>1.52</v>
      </c>
      <c r="J349" s="52">
        <v>99.89</v>
      </c>
      <c r="K349" s="52">
        <f t="shared" si="73"/>
        <v>1.350476238</v>
      </c>
      <c r="L349" s="52">
        <f t="shared" si="2"/>
        <v>4.051428714</v>
      </c>
      <c r="M349" s="52">
        <v>0.0</v>
      </c>
      <c r="N349" s="52">
        <v>0.0</v>
      </c>
      <c r="O349" s="52">
        <v>0.0</v>
      </c>
      <c r="P349" s="52">
        <v>0.0</v>
      </c>
      <c r="Q349" s="52">
        <v>37.35</v>
      </c>
      <c r="R349" s="52">
        <v>0.01</v>
      </c>
      <c r="S349" s="52">
        <f t="shared" si="3"/>
        <v>0</v>
      </c>
      <c r="T349" s="52">
        <f t="shared" si="4"/>
        <v>0</v>
      </c>
      <c r="U349" s="52">
        <f t="shared" si="5"/>
        <v>0</v>
      </c>
      <c r="V349" s="52">
        <f t="shared" si="6"/>
        <v>0</v>
      </c>
      <c r="W349" s="52">
        <f t="shared" si="7"/>
        <v>0.56772</v>
      </c>
      <c r="X349" s="52">
        <f t="shared" si="8"/>
        <v>0.000152</v>
      </c>
    </row>
    <row r="350" ht="15.0" customHeight="1">
      <c r="A350" s="51">
        <v>71.0</v>
      </c>
      <c r="B350" s="51" t="s">
        <v>61</v>
      </c>
      <c r="C350" s="51">
        <v>224.0</v>
      </c>
      <c r="D350" s="51" t="s">
        <v>164</v>
      </c>
      <c r="E350" s="51" t="s">
        <v>165</v>
      </c>
      <c r="F350" s="51" t="s">
        <v>299</v>
      </c>
      <c r="G350" s="51" t="s">
        <v>300</v>
      </c>
      <c r="H350" s="52">
        <v>1.0</v>
      </c>
      <c r="I350" s="52">
        <v>1.0</v>
      </c>
      <c r="J350" s="52">
        <v>99.02</v>
      </c>
      <c r="K350" s="52">
        <f t="shared" si="73"/>
        <v>0.8962774096</v>
      </c>
      <c r="L350" s="52">
        <f t="shared" si="2"/>
        <v>2.688832229</v>
      </c>
      <c r="M350" s="52">
        <v>0.0</v>
      </c>
      <c r="N350" s="52">
        <v>0.0</v>
      </c>
      <c r="O350" s="52">
        <v>0.0</v>
      </c>
      <c r="P350" s="52">
        <v>0.0</v>
      </c>
      <c r="Q350" s="52">
        <v>0.0</v>
      </c>
      <c r="R350" s="52">
        <v>0.0</v>
      </c>
      <c r="S350" s="52">
        <f t="shared" si="3"/>
        <v>0</v>
      </c>
      <c r="T350" s="52">
        <f t="shared" si="4"/>
        <v>0</v>
      </c>
      <c r="U350" s="52">
        <f t="shared" si="5"/>
        <v>0</v>
      </c>
      <c r="V350" s="52">
        <f t="shared" si="6"/>
        <v>0</v>
      </c>
      <c r="W350" s="52">
        <f t="shared" si="7"/>
        <v>0</v>
      </c>
      <c r="X350" s="52">
        <f t="shared" si="8"/>
        <v>0</v>
      </c>
    </row>
    <row r="351" ht="15.0" customHeight="1">
      <c r="A351" s="51">
        <v>71.0</v>
      </c>
      <c r="B351" s="51" t="s">
        <v>61</v>
      </c>
      <c r="C351" s="51">
        <v>225.0</v>
      </c>
      <c r="D351" s="51" t="s">
        <v>164</v>
      </c>
      <c r="E351" s="51" t="s">
        <v>274</v>
      </c>
      <c r="F351" s="51" t="s">
        <v>299</v>
      </c>
      <c r="G351" s="51" t="s">
        <v>300</v>
      </c>
      <c r="H351" s="52">
        <v>0.5</v>
      </c>
      <c r="I351" s="52">
        <v>0.5</v>
      </c>
      <c r="J351" s="52">
        <v>99.05</v>
      </c>
      <c r="K351" s="52">
        <f t="shared" si="73"/>
        <v>0.4480029737</v>
      </c>
      <c r="L351" s="52">
        <f t="shared" si="2"/>
        <v>1.344008921</v>
      </c>
      <c r="M351" s="52">
        <v>0.0</v>
      </c>
      <c r="N351" s="52">
        <v>0.0</v>
      </c>
      <c r="O351" s="52">
        <v>0.0</v>
      </c>
      <c r="P351" s="52">
        <v>0.0</v>
      </c>
      <c r="Q351" s="52">
        <v>0.0</v>
      </c>
      <c r="R351" s="52">
        <v>0.0</v>
      </c>
      <c r="S351" s="52">
        <f t="shared" si="3"/>
        <v>0</v>
      </c>
      <c r="T351" s="52">
        <f t="shared" si="4"/>
        <v>0</v>
      </c>
      <c r="U351" s="52">
        <f t="shared" si="5"/>
        <v>0</v>
      </c>
      <c r="V351" s="52">
        <f t="shared" si="6"/>
        <v>0</v>
      </c>
      <c r="W351" s="52">
        <f t="shared" si="7"/>
        <v>0</v>
      </c>
      <c r="X351" s="52">
        <f t="shared" si="8"/>
        <v>0</v>
      </c>
    </row>
    <row r="352" ht="15.0" customHeight="1">
      <c r="A352" s="51">
        <v>72.0</v>
      </c>
      <c r="B352" s="51" t="s">
        <v>61</v>
      </c>
      <c r="C352" s="51">
        <v>192.0</v>
      </c>
      <c r="D352" s="51" t="s">
        <v>16</v>
      </c>
      <c r="E352" s="51" t="s">
        <v>17</v>
      </c>
      <c r="F352" s="51" t="s">
        <v>299</v>
      </c>
      <c r="G352" s="51" t="s">
        <v>300</v>
      </c>
      <c r="H352" s="52">
        <v>13.459999999999999</v>
      </c>
      <c r="I352" s="52">
        <v>13.459999999999999</v>
      </c>
      <c r="J352" s="52">
        <v>88.05</v>
      </c>
      <c r="K352" s="52">
        <f t="shared" ref="K352:K355" si="74">IF(J352&gt;0,(I352/J352)/SUMPRODUCT($I$352:$I$355/$J$352:$J$355)*100,"")</f>
        <v>13.47847481</v>
      </c>
      <c r="L352" s="52">
        <f t="shared" si="2"/>
        <v>40.43542443</v>
      </c>
      <c r="M352" s="52">
        <v>17.12</v>
      </c>
      <c r="N352" s="52">
        <v>71.35</v>
      </c>
      <c r="O352" s="52">
        <v>43.96</v>
      </c>
      <c r="P352" s="52">
        <v>3.58</v>
      </c>
      <c r="Q352" s="52">
        <v>0.19</v>
      </c>
      <c r="R352" s="52">
        <v>0.95</v>
      </c>
      <c r="S352" s="52">
        <f t="shared" si="3"/>
        <v>2.304352</v>
      </c>
      <c r="T352" s="52">
        <f t="shared" si="4"/>
        <v>9.60371</v>
      </c>
      <c r="U352" s="52">
        <f t="shared" si="5"/>
        <v>5.917016</v>
      </c>
      <c r="V352" s="52">
        <f t="shared" si="6"/>
        <v>0.481868</v>
      </c>
      <c r="W352" s="52">
        <f t="shared" si="7"/>
        <v>0.025574</v>
      </c>
      <c r="X352" s="52">
        <f t="shared" si="8"/>
        <v>0.12787</v>
      </c>
    </row>
    <row r="353" ht="15.0" customHeight="1">
      <c r="A353" s="51">
        <v>72.0</v>
      </c>
      <c r="B353" s="51" t="s">
        <v>61</v>
      </c>
      <c r="C353" s="51">
        <v>188.0</v>
      </c>
      <c r="D353" s="51" t="s">
        <v>16</v>
      </c>
      <c r="E353" s="51" t="s">
        <v>19</v>
      </c>
      <c r="F353" s="51" t="s">
        <v>299</v>
      </c>
      <c r="G353" s="51" t="s">
        <v>300</v>
      </c>
      <c r="H353" s="52">
        <v>63.37000000000002</v>
      </c>
      <c r="I353" s="52">
        <v>63.37000000000002</v>
      </c>
      <c r="J353" s="52">
        <v>87.78</v>
      </c>
      <c r="K353" s="52">
        <f t="shared" si="74"/>
        <v>63.65216536</v>
      </c>
      <c r="L353" s="52">
        <f t="shared" si="2"/>
        <v>190.9564961</v>
      </c>
      <c r="M353" s="52">
        <v>9.1</v>
      </c>
      <c r="N353" s="52">
        <v>86.03</v>
      </c>
      <c r="O353" s="52">
        <v>14.39</v>
      </c>
      <c r="P353" s="52">
        <v>4.18</v>
      </c>
      <c r="Q353" s="52">
        <v>0.03</v>
      </c>
      <c r="R353" s="52">
        <v>0.25</v>
      </c>
      <c r="S353" s="52">
        <f t="shared" si="3"/>
        <v>5.76667</v>
      </c>
      <c r="T353" s="52">
        <f t="shared" si="4"/>
        <v>54.517211</v>
      </c>
      <c r="U353" s="52">
        <f t="shared" si="5"/>
        <v>9.118943</v>
      </c>
      <c r="V353" s="52">
        <f t="shared" si="6"/>
        <v>2.648866</v>
      </c>
      <c r="W353" s="52">
        <f t="shared" si="7"/>
        <v>0.019011</v>
      </c>
      <c r="X353" s="52">
        <f t="shared" si="8"/>
        <v>0.158425</v>
      </c>
    </row>
    <row r="354" ht="15.0" customHeight="1">
      <c r="A354" s="51">
        <v>72.0</v>
      </c>
      <c r="B354" s="51" t="s">
        <v>61</v>
      </c>
      <c r="C354" s="51">
        <v>208.0</v>
      </c>
      <c r="D354" s="51" t="s">
        <v>22</v>
      </c>
      <c r="E354" s="51" t="s">
        <v>23</v>
      </c>
      <c r="F354" s="51" t="s">
        <v>299</v>
      </c>
      <c r="G354" s="51" t="s">
        <v>300</v>
      </c>
      <c r="H354" s="52">
        <v>21.239999999999995</v>
      </c>
      <c r="I354" s="52">
        <v>21.239999999999995</v>
      </c>
      <c r="J354" s="52">
        <v>88.48</v>
      </c>
      <c r="K354" s="52">
        <f t="shared" si="74"/>
        <v>21.16578841</v>
      </c>
      <c r="L354" s="52">
        <f t="shared" si="2"/>
        <v>63.49736522</v>
      </c>
      <c r="M354" s="52">
        <v>48.76</v>
      </c>
      <c r="N354" s="52">
        <v>80.73</v>
      </c>
      <c r="O354" s="52">
        <v>15.37</v>
      </c>
      <c r="P354" s="52">
        <v>1.75</v>
      </c>
      <c r="Q354" s="52">
        <v>0.33</v>
      </c>
      <c r="R354" s="52">
        <v>0.57</v>
      </c>
      <c r="S354" s="52">
        <f t="shared" si="3"/>
        <v>10.356624</v>
      </c>
      <c r="T354" s="52">
        <f t="shared" si="4"/>
        <v>17.147052</v>
      </c>
      <c r="U354" s="52">
        <f t="shared" si="5"/>
        <v>3.264588</v>
      </c>
      <c r="V354" s="52">
        <f t="shared" si="6"/>
        <v>0.3717</v>
      </c>
      <c r="W354" s="52">
        <f t="shared" si="7"/>
        <v>0.070092</v>
      </c>
      <c r="X354" s="52">
        <f t="shared" si="8"/>
        <v>0.121068</v>
      </c>
    </row>
    <row r="355" ht="15.0" customHeight="1">
      <c r="A355" s="51">
        <v>72.0</v>
      </c>
      <c r="B355" s="51" t="s">
        <v>61</v>
      </c>
      <c r="C355" s="51">
        <v>213.0</v>
      </c>
      <c r="D355" s="51" t="s">
        <v>24</v>
      </c>
      <c r="E355" s="51" t="s">
        <v>26</v>
      </c>
      <c r="F355" s="51" t="s">
        <v>299</v>
      </c>
      <c r="G355" s="51" t="s">
        <v>300</v>
      </c>
      <c r="H355" s="52">
        <v>1.9299999999999997</v>
      </c>
      <c r="I355" s="52">
        <v>1.9299999999999997</v>
      </c>
      <c r="J355" s="52">
        <v>99.89</v>
      </c>
      <c r="K355" s="52">
        <f t="shared" si="74"/>
        <v>1.703571428</v>
      </c>
      <c r="L355" s="52">
        <f t="shared" si="2"/>
        <v>5.110714284</v>
      </c>
      <c r="M355" s="52">
        <v>0.0</v>
      </c>
      <c r="N355" s="52">
        <v>0.0</v>
      </c>
      <c r="O355" s="52">
        <v>0.0</v>
      </c>
      <c r="P355" s="52">
        <v>0.0</v>
      </c>
      <c r="Q355" s="52">
        <v>37.35</v>
      </c>
      <c r="R355" s="52">
        <v>0.01</v>
      </c>
      <c r="S355" s="52">
        <f t="shared" si="3"/>
        <v>0</v>
      </c>
      <c r="T355" s="52">
        <f t="shared" si="4"/>
        <v>0</v>
      </c>
      <c r="U355" s="52">
        <f t="shared" si="5"/>
        <v>0</v>
      </c>
      <c r="V355" s="52">
        <f t="shared" si="6"/>
        <v>0</v>
      </c>
      <c r="W355" s="52">
        <f t="shared" si="7"/>
        <v>0.720855</v>
      </c>
      <c r="X355" s="52">
        <f t="shared" si="8"/>
        <v>0.000193</v>
      </c>
    </row>
    <row r="356" ht="15.0" customHeight="1">
      <c r="A356" s="51">
        <v>73.0</v>
      </c>
      <c r="B356" s="51" t="s">
        <v>61</v>
      </c>
      <c r="C356" s="51">
        <v>192.0</v>
      </c>
      <c r="D356" s="51" t="s">
        <v>16</v>
      </c>
      <c r="E356" s="51" t="s">
        <v>17</v>
      </c>
      <c r="F356" s="51" t="s">
        <v>299</v>
      </c>
      <c r="G356" s="51" t="s">
        <v>300</v>
      </c>
      <c r="H356" s="52">
        <v>23.749999999999996</v>
      </c>
      <c r="I356" s="52">
        <v>23.749999999999996</v>
      </c>
      <c r="J356" s="52">
        <v>88.05</v>
      </c>
      <c r="K356" s="52">
        <f t="shared" ref="K356:K359" si="75">IF(J356&gt;0,(I356/J356)/SUMPRODUCT($I$356:$I$359/$J$356:$J$359)*100,"")</f>
        <v>23.76265768</v>
      </c>
      <c r="L356" s="52">
        <f t="shared" si="2"/>
        <v>71.28797304</v>
      </c>
      <c r="M356" s="52">
        <v>17.12</v>
      </c>
      <c r="N356" s="52">
        <v>71.35</v>
      </c>
      <c r="O356" s="52">
        <v>43.96</v>
      </c>
      <c r="P356" s="52">
        <v>3.58</v>
      </c>
      <c r="Q356" s="52">
        <v>0.19</v>
      </c>
      <c r="R356" s="52">
        <v>0.95</v>
      </c>
      <c r="S356" s="52">
        <f t="shared" si="3"/>
        <v>4.066</v>
      </c>
      <c r="T356" s="52">
        <f t="shared" si="4"/>
        <v>16.945625</v>
      </c>
      <c r="U356" s="52">
        <f t="shared" si="5"/>
        <v>10.4405</v>
      </c>
      <c r="V356" s="52">
        <f t="shared" si="6"/>
        <v>0.85025</v>
      </c>
      <c r="W356" s="52">
        <f t="shared" si="7"/>
        <v>0.045125</v>
      </c>
      <c r="X356" s="52">
        <f t="shared" si="8"/>
        <v>0.225625</v>
      </c>
    </row>
    <row r="357" ht="15.0" customHeight="1">
      <c r="A357" s="51">
        <v>73.0</v>
      </c>
      <c r="B357" s="51" t="s">
        <v>61</v>
      </c>
      <c r="C357" s="51">
        <v>188.0</v>
      </c>
      <c r="D357" s="51" t="s">
        <v>16</v>
      </c>
      <c r="E357" s="51" t="s">
        <v>19</v>
      </c>
      <c r="F357" s="51" t="s">
        <v>299</v>
      </c>
      <c r="G357" s="51" t="s">
        <v>300</v>
      </c>
      <c r="H357" s="52">
        <v>70.35000000000001</v>
      </c>
      <c r="I357" s="52">
        <v>70.35000000000001</v>
      </c>
      <c r="J357" s="52">
        <v>87.78</v>
      </c>
      <c r="K357" s="52">
        <f t="shared" si="75"/>
        <v>70.60399627</v>
      </c>
      <c r="L357" s="52">
        <f t="shared" si="2"/>
        <v>211.8119888</v>
      </c>
      <c r="M357" s="52">
        <v>9.1</v>
      </c>
      <c r="N357" s="52">
        <v>86.03</v>
      </c>
      <c r="O357" s="52">
        <v>14.39</v>
      </c>
      <c r="P357" s="52">
        <v>4.18</v>
      </c>
      <c r="Q357" s="52">
        <v>0.03</v>
      </c>
      <c r="R357" s="52">
        <v>0.25</v>
      </c>
      <c r="S357" s="52">
        <f t="shared" si="3"/>
        <v>6.40185</v>
      </c>
      <c r="T357" s="52">
        <f t="shared" si="4"/>
        <v>60.522105</v>
      </c>
      <c r="U357" s="52">
        <f t="shared" si="5"/>
        <v>10.123365</v>
      </c>
      <c r="V357" s="52">
        <f t="shared" si="6"/>
        <v>2.94063</v>
      </c>
      <c r="W357" s="52">
        <f t="shared" si="7"/>
        <v>0.021105</v>
      </c>
      <c r="X357" s="52">
        <f t="shared" si="8"/>
        <v>0.175875</v>
      </c>
    </row>
    <row r="358" ht="15.0" customHeight="1">
      <c r="A358" s="51">
        <v>73.0</v>
      </c>
      <c r="B358" s="51" t="s">
        <v>61</v>
      </c>
      <c r="C358" s="51">
        <v>208.0</v>
      </c>
      <c r="D358" s="51" t="s">
        <v>22</v>
      </c>
      <c r="E358" s="51" t="s">
        <v>23</v>
      </c>
      <c r="F358" s="51" t="s">
        <v>299</v>
      </c>
      <c r="G358" s="51" t="s">
        <v>300</v>
      </c>
      <c r="H358" s="52">
        <v>3.7800000000000002</v>
      </c>
      <c r="I358" s="52">
        <v>3.7800000000000002</v>
      </c>
      <c r="J358" s="52">
        <v>88.48</v>
      </c>
      <c r="K358" s="52">
        <f t="shared" si="75"/>
        <v>3.763634526</v>
      </c>
      <c r="L358" s="52">
        <f t="shared" si="2"/>
        <v>11.29090358</v>
      </c>
      <c r="M358" s="52">
        <v>48.76</v>
      </c>
      <c r="N358" s="52">
        <v>80.73</v>
      </c>
      <c r="O358" s="52">
        <v>15.37</v>
      </c>
      <c r="P358" s="52">
        <v>1.75</v>
      </c>
      <c r="Q358" s="52">
        <v>0.33</v>
      </c>
      <c r="R358" s="52">
        <v>0.57</v>
      </c>
      <c r="S358" s="52">
        <f t="shared" si="3"/>
        <v>1.843128</v>
      </c>
      <c r="T358" s="52">
        <f t="shared" si="4"/>
        <v>3.051594</v>
      </c>
      <c r="U358" s="52">
        <f t="shared" si="5"/>
        <v>0.580986</v>
      </c>
      <c r="V358" s="52">
        <f t="shared" si="6"/>
        <v>0.06615</v>
      </c>
      <c r="W358" s="52">
        <f t="shared" si="7"/>
        <v>0.012474</v>
      </c>
      <c r="X358" s="52">
        <f t="shared" si="8"/>
        <v>0.021546</v>
      </c>
    </row>
    <row r="359" ht="15.0" customHeight="1">
      <c r="A359" s="51">
        <v>73.0</v>
      </c>
      <c r="B359" s="51" t="s">
        <v>61</v>
      </c>
      <c r="C359" s="51">
        <v>213.0</v>
      </c>
      <c r="D359" s="51" t="s">
        <v>24</v>
      </c>
      <c r="E359" s="51" t="s">
        <v>26</v>
      </c>
      <c r="F359" s="51" t="s">
        <v>299</v>
      </c>
      <c r="G359" s="51" t="s">
        <v>300</v>
      </c>
      <c r="H359" s="52">
        <v>2.12</v>
      </c>
      <c r="I359" s="52">
        <v>2.12</v>
      </c>
      <c r="J359" s="52">
        <v>99.89</v>
      </c>
      <c r="K359" s="52">
        <f t="shared" si="75"/>
        <v>1.869711528</v>
      </c>
      <c r="L359" s="52">
        <f t="shared" si="2"/>
        <v>5.609134585</v>
      </c>
      <c r="M359" s="52">
        <v>0.0</v>
      </c>
      <c r="N359" s="52">
        <v>0.0</v>
      </c>
      <c r="O359" s="52">
        <v>0.0</v>
      </c>
      <c r="P359" s="52">
        <v>0.0</v>
      </c>
      <c r="Q359" s="52">
        <v>37.35</v>
      </c>
      <c r="R359" s="52">
        <v>0.01</v>
      </c>
      <c r="S359" s="52">
        <f t="shared" si="3"/>
        <v>0</v>
      </c>
      <c r="T359" s="52">
        <f t="shared" si="4"/>
        <v>0</v>
      </c>
      <c r="U359" s="52">
        <f t="shared" si="5"/>
        <v>0</v>
      </c>
      <c r="V359" s="52">
        <f t="shared" si="6"/>
        <v>0</v>
      </c>
      <c r="W359" s="52">
        <f t="shared" si="7"/>
        <v>0.79182</v>
      </c>
      <c r="X359" s="52">
        <f t="shared" si="8"/>
        <v>0.000212</v>
      </c>
    </row>
    <row r="360" ht="15.0" customHeight="1">
      <c r="A360" s="51">
        <v>75.0</v>
      </c>
      <c r="B360" s="51" t="s">
        <v>61</v>
      </c>
      <c r="C360" s="51">
        <v>192.0</v>
      </c>
      <c r="D360" s="51" t="s">
        <v>16</v>
      </c>
      <c r="E360" s="51" t="s">
        <v>17</v>
      </c>
      <c r="F360" s="51" t="s">
        <v>299</v>
      </c>
      <c r="G360" s="51" t="s">
        <v>300</v>
      </c>
      <c r="H360" s="52">
        <v>24.309999999999995</v>
      </c>
      <c r="I360" s="52">
        <v>24.309999999999995</v>
      </c>
      <c r="J360" s="52">
        <v>88.05</v>
      </c>
      <c r="K360" s="52">
        <f t="shared" ref="K360:K363" si="76">IF(J360&gt;0,(I360/J360)/SUMPRODUCT($I$360:$I$363/$J$360:$J$363)*100,"")</f>
        <v>24.34606554</v>
      </c>
      <c r="L360" s="52">
        <f t="shared" si="2"/>
        <v>73.03819663</v>
      </c>
      <c r="M360" s="52">
        <v>17.12</v>
      </c>
      <c r="N360" s="52">
        <v>71.35</v>
      </c>
      <c r="O360" s="52">
        <v>43.96</v>
      </c>
      <c r="P360" s="52">
        <v>3.58</v>
      </c>
      <c r="Q360" s="52">
        <v>0.19</v>
      </c>
      <c r="R360" s="52">
        <v>0.95</v>
      </c>
      <c r="S360" s="52">
        <f t="shared" si="3"/>
        <v>4.161872</v>
      </c>
      <c r="T360" s="52">
        <f t="shared" si="4"/>
        <v>17.345185</v>
      </c>
      <c r="U360" s="52">
        <f t="shared" si="5"/>
        <v>10.686676</v>
      </c>
      <c r="V360" s="52">
        <f t="shared" si="6"/>
        <v>0.870298</v>
      </c>
      <c r="W360" s="52">
        <f t="shared" si="7"/>
        <v>0.046189</v>
      </c>
      <c r="X360" s="52">
        <f t="shared" si="8"/>
        <v>0.230945</v>
      </c>
    </row>
    <row r="361" ht="15.0" customHeight="1">
      <c r="A361" s="51">
        <v>75.0</v>
      </c>
      <c r="B361" s="51" t="s">
        <v>61</v>
      </c>
      <c r="C361" s="51">
        <v>188.0</v>
      </c>
      <c r="D361" s="51" t="s">
        <v>16</v>
      </c>
      <c r="E361" s="51" t="s">
        <v>19</v>
      </c>
      <c r="F361" s="51" t="s">
        <v>299</v>
      </c>
      <c r="G361" s="51" t="s">
        <v>300</v>
      </c>
      <c r="H361" s="52">
        <v>61.49000000000001</v>
      </c>
      <c r="I361" s="52">
        <v>61.49000000000001</v>
      </c>
      <c r="J361" s="52">
        <v>87.78</v>
      </c>
      <c r="K361" s="52">
        <f t="shared" si="76"/>
        <v>61.77064055</v>
      </c>
      <c r="L361" s="52">
        <f t="shared" si="2"/>
        <v>185.3119216</v>
      </c>
      <c r="M361" s="52">
        <v>9.1</v>
      </c>
      <c r="N361" s="52">
        <v>86.03</v>
      </c>
      <c r="O361" s="52">
        <v>14.39</v>
      </c>
      <c r="P361" s="52">
        <v>4.18</v>
      </c>
      <c r="Q361" s="52">
        <v>0.03</v>
      </c>
      <c r="R361" s="52">
        <v>0.25</v>
      </c>
      <c r="S361" s="52">
        <f t="shared" si="3"/>
        <v>5.59559</v>
      </c>
      <c r="T361" s="52">
        <f t="shared" si="4"/>
        <v>52.899847</v>
      </c>
      <c r="U361" s="52">
        <f t="shared" si="5"/>
        <v>8.848411</v>
      </c>
      <c r="V361" s="52">
        <f t="shared" si="6"/>
        <v>2.570282</v>
      </c>
      <c r="W361" s="52">
        <f t="shared" si="7"/>
        <v>0.018447</v>
      </c>
      <c r="X361" s="52">
        <f t="shared" si="8"/>
        <v>0.153725</v>
      </c>
    </row>
    <row r="362" ht="15.0" customHeight="1">
      <c r="A362" s="51">
        <v>75.0</v>
      </c>
      <c r="B362" s="51" t="s">
        <v>61</v>
      </c>
      <c r="C362" s="51">
        <v>208.0</v>
      </c>
      <c r="D362" s="51" t="s">
        <v>22</v>
      </c>
      <c r="E362" s="51" t="s">
        <v>23</v>
      </c>
      <c r="F362" s="51" t="s">
        <v>299</v>
      </c>
      <c r="G362" s="51" t="s">
        <v>300</v>
      </c>
      <c r="H362" s="52">
        <v>11.84</v>
      </c>
      <c r="I362" s="52">
        <v>11.84</v>
      </c>
      <c r="J362" s="52">
        <v>88.48</v>
      </c>
      <c r="K362" s="52">
        <f t="shared" si="76"/>
        <v>11.7999394</v>
      </c>
      <c r="L362" s="52">
        <f t="shared" si="2"/>
        <v>35.39981819</v>
      </c>
      <c r="M362" s="52">
        <v>48.76</v>
      </c>
      <c r="N362" s="52">
        <v>80.73</v>
      </c>
      <c r="O362" s="52">
        <v>15.37</v>
      </c>
      <c r="P362" s="52">
        <v>1.75</v>
      </c>
      <c r="Q362" s="52">
        <v>0.33</v>
      </c>
      <c r="R362" s="52">
        <v>0.57</v>
      </c>
      <c r="S362" s="52">
        <f t="shared" si="3"/>
        <v>5.773184</v>
      </c>
      <c r="T362" s="52">
        <f t="shared" si="4"/>
        <v>9.558432</v>
      </c>
      <c r="U362" s="52">
        <f t="shared" si="5"/>
        <v>1.819808</v>
      </c>
      <c r="V362" s="52">
        <f t="shared" si="6"/>
        <v>0.2072</v>
      </c>
      <c r="W362" s="52">
        <f t="shared" si="7"/>
        <v>0.039072</v>
      </c>
      <c r="X362" s="52">
        <f t="shared" si="8"/>
        <v>0.067488</v>
      </c>
    </row>
    <row r="363" ht="15.0" customHeight="1">
      <c r="A363" s="51">
        <v>75.0</v>
      </c>
      <c r="B363" s="51" t="s">
        <v>61</v>
      </c>
      <c r="C363" s="51">
        <v>213.0</v>
      </c>
      <c r="D363" s="51" t="s">
        <v>24</v>
      </c>
      <c r="E363" s="51" t="s">
        <v>26</v>
      </c>
      <c r="F363" s="51" t="s">
        <v>299</v>
      </c>
      <c r="G363" s="51" t="s">
        <v>300</v>
      </c>
      <c r="H363" s="52">
        <v>2.3599999999999994</v>
      </c>
      <c r="I363" s="52">
        <v>2.3599999999999994</v>
      </c>
      <c r="J363" s="52">
        <v>99.89</v>
      </c>
      <c r="K363" s="52">
        <f t="shared" si="76"/>
        <v>2.083354515</v>
      </c>
      <c r="L363" s="52">
        <f t="shared" si="2"/>
        <v>6.250063545</v>
      </c>
      <c r="M363" s="52">
        <v>0.0</v>
      </c>
      <c r="N363" s="52">
        <v>0.0</v>
      </c>
      <c r="O363" s="52">
        <v>0.0</v>
      </c>
      <c r="P363" s="52">
        <v>0.0</v>
      </c>
      <c r="Q363" s="52">
        <v>37.35</v>
      </c>
      <c r="R363" s="52">
        <v>0.01</v>
      </c>
      <c r="S363" s="52">
        <f t="shared" si="3"/>
        <v>0</v>
      </c>
      <c r="T363" s="52">
        <f t="shared" si="4"/>
        <v>0</v>
      </c>
      <c r="U363" s="52">
        <f t="shared" si="5"/>
        <v>0</v>
      </c>
      <c r="V363" s="52">
        <f t="shared" si="6"/>
        <v>0</v>
      </c>
      <c r="W363" s="52">
        <f t="shared" si="7"/>
        <v>0.88146</v>
      </c>
      <c r="X363" s="52">
        <f t="shared" si="8"/>
        <v>0.000236</v>
      </c>
    </row>
    <row r="364" ht="15.0" customHeight="1">
      <c r="A364" s="51">
        <v>76.0</v>
      </c>
      <c r="B364" s="51" t="s">
        <v>61</v>
      </c>
      <c r="C364" s="51">
        <v>192.0</v>
      </c>
      <c r="D364" s="51" t="s">
        <v>16</v>
      </c>
      <c r="E364" s="51" t="s">
        <v>17</v>
      </c>
      <c r="F364" s="51" t="s">
        <v>299</v>
      </c>
      <c r="G364" s="51" t="s">
        <v>300</v>
      </c>
      <c r="H364" s="52">
        <v>20.101853598251278</v>
      </c>
      <c r="I364" s="52">
        <v>20.102065747470903</v>
      </c>
      <c r="J364" s="52">
        <v>88.05</v>
      </c>
      <c r="K364" s="52">
        <f t="shared" ref="K364:K367" si="77">IF(J364&gt;0,(I364/J364)/SUMPRODUCT($I$364:$I$367/$J$364:$J$367)*100,"")</f>
        <v>20.11973343</v>
      </c>
      <c r="L364" s="52">
        <f t="shared" si="2"/>
        <v>60.3592003</v>
      </c>
      <c r="M364" s="52">
        <v>17.12</v>
      </c>
      <c r="N364" s="52">
        <v>71.35</v>
      </c>
      <c r="O364" s="52">
        <v>43.96</v>
      </c>
      <c r="P364" s="52">
        <v>3.58</v>
      </c>
      <c r="Q364" s="52">
        <v>0.19</v>
      </c>
      <c r="R364" s="52">
        <v>0.95</v>
      </c>
      <c r="S364" s="52">
        <f t="shared" si="3"/>
        <v>3.441473656</v>
      </c>
      <c r="T364" s="52">
        <f t="shared" si="4"/>
        <v>14.34282391</v>
      </c>
      <c r="U364" s="52">
        <f t="shared" si="5"/>
        <v>8.836868103</v>
      </c>
      <c r="V364" s="52">
        <f t="shared" si="6"/>
        <v>0.7196539538</v>
      </c>
      <c r="W364" s="52">
        <f t="shared" si="7"/>
        <v>0.03819392492</v>
      </c>
      <c r="X364" s="52">
        <f t="shared" si="8"/>
        <v>0.1909696246</v>
      </c>
    </row>
    <row r="365" ht="15.0" customHeight="1">
      <c r="A365" s="51">
        <v>76.0</v>
      </c>
      <c r="B365" s="51" t="s">
        <v>61</v>
      </c>
      <c r="C365" s="51">
        <v>188.0</v>
      </c>
      <c r="D365" s="51" t="s">
        <v>16</v>
      </c>
      <c r="E365" s="51" t="s">
        <v>19</v>
      </c>
      <c r="F365" s="51" t="s">
        <v>299</v>
      </c>
      <c r="G365" s="51" t="s">
        <v>300</v>
      </c>
      <c r="H365" s="52">
        <v>67.99823912787265</v>
      </c>
      <c r="I365" s="52">
        <v>67.9980573082066</v>
      </c>
      <c r="J365" s="52">
        <v>87.78</v>
      </c>
      <c r="K365" s="52">
        <f t="shared" si="77"/>
        <v>68.26715785</v>
      </c>
      <c r="L365" s="52">
        <f t="shared" si="2"/>
        <v>204.8014735</v>
      </c>
      <c r="M365" s="52">
        <v>9.1</v>
      </c>
      <c r="N365" s="52">
        <v>86.03</v>
      </c>
      <c r="O365" s="52">
        <v>14.39</v>
      </c>
      <c r="P365" s="52">
        <v>4.18</v>
      </c>
      <c r="Q365" s="52">
        <v>0.03</v>
      </c>
      <c r="R365" s="52">
        <v>0.25</v>
      </c>
      <c r="S365" s="52">
        <f t="shared" si="3"/>
        <v>6.187823215</v>
      </c>
      <c r="T365" s="52">
        <f t="shared" si="4"/>
        <v>58.4987287</v>
      </c>
      <c r="U365" s="52">
        <f t="shared" si="5"/>
        <v>9.784920447</v>
      </c>
      <c r="V365" s="52">
        <f t="shared" si="6"/>
        <v>2.842318795</v>
      </c>
      <c r="W365" s="52">
        <f t="shared" si="7"/>
        <v>0.02039941719</v>
      </c>
      <c r="X365" s="52">
        <f t="shared" si="8"/>
        <v>0.1699951433</v>
      </c>
    </row>
    <row r="366" ht="15.0" customHeight="1">
      <c r="A366" s="51">
        <v>76.0</v>
      </c>
      <c r="B366" s="51" t="s">
        <v>61</v>
      </c>
      <c r="C366" s="51">
        <v>208.0</v>
      </c>
      <c r="D366" s="51" t="s">
        <v>22</v>
      </c>
      <c r="E366" s="51" t="s">
        <v>23</v>
      </c>
      <c r="F366" s="51" t="s">
        <v>299</v>
      </c>
      <c r="G366" s="51" t="s">
        <v>300</v>
      </c>
      <c r="H366" s="52">
        <v>9.796167846028759</v>
      </c>
      <c r="I366" s="52">
        <v>9.796127291564465</v>
      </c>
      <c r="J366" s="52">
        <v>88.48</v>
      </c>
      <c r="K366" s="52">
        <f t="shared" si="77"/>
        <v>9.757087495</v>
      </c>
      <c r="L366" s="52">
        <f t="shared" si="2"/>
        <v>29.27126248</v>
      </c>
      <c r="M366" s="52">
        <v>48.76</v>
      </c>
      <c r="N366" s="52">
        <v>80.73</v>
      </c>
      <c r="O366" s="52">
        <v>15.37</v>
      </c>
      <c r="P366" s="52">
        <v>1.75</v>
      </c>
      <c r="Q366" s="52">
        <v>0.33</v>
      </c>
      <c r="R366" s="52">
        <v>0.57</v>
      </c>
      <c r="S366" s="52">
        <f t="shared" si="3"/>
        <v>4.776591667</v>
      </c>
      <c r="T366" s="52">
        <f t="shared" si="4"/>
        <v>7.908413562</v>
      </c>
      <c r="U366" s="52">
        <f t="shared" si="5"/>
        <v>1.505664765</v>
      </c>
      <c r="V366" s="52">
        <f t="shared" si="6"/>
        <v>0.1714322276</v>
      </c>
      <c r="W366" s="52">
        <f t="shared" si="7"/>
        <v>0.03232722006</v>
      </c>
      <c r="X366" s="52">
        <f t="shared" si="8"/>
        <v>0.05583792556</v>
      </c>
    </row>
    <row r="367" ht="15.0" customHeight="1">
      <c r="A367" s="51">
        <v>76.0</v>
      </c>
      <c r="B367" s="51" t="s">
        <v>61</v>
      </c>
      <c r="C367" s="51">
        <v>213.0</v>
      </c>
      <c r="D367" s="51" t="s">
        <v>24</v>
      </c>
      <c r="E367" s="51" t="s">
        <v>26</v>
      </c>
      <c r="F367" s="51" t="s">
        <v>299</v>
      </c>
      <c r="G367" s="51" t="s">
        <v>300</v>
      </c>
      <c r="H367" s="52">
        <v>2.1037394278473194</v>
      </c>
      <c r="I367" s="52">
        <v>2.103749652758038</v>
      </c>
      <c r="J367" s="52">
        <v>99.89</v>
      </c>
      <c r="K367" s="52">
        <f t="shared" si="77"/>
        <v>1.856021223</v>
      </c>
      <c r="L367" s="52">
        <f t="shared" si="2"/>
        <v>5.568063668</v>
      </c>
      <c r="M367" s="52">
        <v>0.0</v>
      </c>
      <c r="N367" s="52">
        <v>0.0</v>
      </c>
      <c r="O367" s="52">
        <v>0.0</v>
      </c>
      <c r="P367" s="52">
        <v>0.0</v>
      </c>
      <c r="Q367" s="52">
        <v>37.35</v>
      </c>
      <c r="R367" s="52">
        <v>0.01</v>
      </c>
      <c r="S367" s="52">
        <f t="shared" si="3"/>
        <v>0</v>
      </c>
      <c r="T367" s="52">
        <f t="shared" si="4"/>
        <v>0</v>
      </c>
      <c r="U367" s="52">
        <f t="shared" si="5"/>
        <v>0</v>
      </c>
      <c r="V367" s="52">
        <f t="shared" si="6"/>
        <v>0</v>
      </c>
      <c r="W367" s="52">
        <f t="shared" si="7"/>
        <v>0.7857504953</v>
      </c>
      <c r="X367" s="52">
        <f t="shared" si="8"/>
        <v>0.0002103749653</v>
      </c>
    </row>
    <row r="368" ht="15.0" customHeight="1">
      <c r="A368" s="51">
        <v>77.0</v>
      </c>
      <c r="B368" s="51" t="s">
        <v>61</v>
      </c>
      <c r="C368" s="51">
        <v>192.0</v>
      </c>
      <c r="D368" s="51" t="s">
        <v>16</v>
      </c>
      <c r="E368" s="51" t="s">
        <v>17</v>
      </c>
      <c r="F368" s="51" t="s">
        <v>299</v>
      </c>
      <c r="G368" s="51" t="s">
        <v>300</v>
      </c>
      <c r="H368" s="52">
        <v>15.950000000000001</v>
      </c>
      <c r="I368" s="52">
        <v>15.950000000000001</v>
      </c>
      <c r="J368" s="52">
        <v>88.05</v>
      </c>
      <c r="K368" s="52">
        <f t="shared" ref="K368:K371" si="78">IF(J368&gt;0,(I368/J368)/SUMPRODUCT($I$368:$I$371/$J$368:$J$371)*100,"")</f>
        <v>15.95019189</v>
      </c>
      <c r="L368" s="52">
        <f t="shared" si="2"/>
        <v>47.85057567</v>
      </c>
      <c r="M368" s="52">
        <v>17.12</v>
      </c>
      <c r="N368" s="52">
        <v>71.35</v>
      </c>
      <c r="O368" s="52">
        <v>43.96</v>
      </c>
      <c r="P368" s="52">
        <v>3.58</v>
      </c>
      <c r="Q368" s="52">
        <v>0.19</v>
      </c>
      <c r="R368" s="52">
        <v>0.95</v>
      </c>
      <c r="S368" s="52">
        <f t="shared" si="3"/>
        <v>2.73064</v>
      </c>
      <c r="T368" s="52">
        <f t="shared" si="4"/>
        <v>11.380325</v>
      </c>
      <c r="U368" s="52">
        <f t="shared" si="5"/>
        <v>7.01162</v>
      </c>
      <c r="V368" s="52">
        <f t="shared" si="6"/>
        <v>0.57101</v>
      </c>
      <c r="W368" s="52">
        <f t="shared" si="7"/>
        <v>0.030305</v>
      </c>
      <c r="X368" s="52">
        <f t="shared" si="8"/>
        <v>0.151525</v>
      </c>
    </row>
    <row r="369" ht="15.0" customHeight="1">
      <c r="A369" s="51">
        <v>77.0</v>
      </c>
      <c r="B369" s="51" t="s">
        <v>61</v>
      </c>
      <c r="C369" s="51">
        <v>188.0</v>
      </c>
      <c r="D369" s="51" t="s">
        <v>16</v>
      </c>
      <c r="E369" s="51" t="s">
        <v>19</v>
      </c>
      <c r="F369" s="51" t="s">
        <v>299</v>
      </c>
      <c r="G369" s="51" t="s">
        <v>300</v>
      </c>
      <c r="H369" s="52">
        <v>77.82000000000001</v>
      </c>
      <c r="I369" s="52">
        <v>77.82000000000001</v>
      </c>
      <c r="J369" s="52">
        <v>87.78</v>
      </c>
      <c r="K369" s="52">
        <f t="shared" si="78"/>
        <v>78.06030343</v>
      </c>
      <c r="L369" s="52">
        <f t="shared" si="2"/>
        <v>234.1809103</v>
      </c>
      <c r="M369" s="52">
        <v>9.1</v>
      </c>
      <c r="N369" s="52">
        <v>86.03</v>
      </c>
      <c r="O369" s="52">
        <v>14.39</v>
      </c>
      <c r="P369" s="52">
        <v>4.18</v>
      </c>
      <c r="Q369" s="52">
        <v>0.03</v>
      </c>
      <c r="R369" s="52">
        <v>0.25</v>
      </c>
      <c r="S369" s="52">
        <f t="shared" si="3"/>
        <v>7.08162</v>
      </c>
      <c r="T369" s="52">
        <f t="shared" si="4"/>
        <v>66.948546</v>
      </c>
      <c r="U369" s="52">
        <f t="shared" si="5"/>
        <v>11.198298</v>
      </c>
      <c r="V369" s="52">
        <f t="shared" si="6"/>
        <v>3.252876</v>
      </c>
      <c r="W369" s="52">
        <f t="shared" si="7"/>
        <v>0.023346</v>
      </c>
      <c r="X369" s="52">
        <f t="shared" si="8"/>
        <v>0.19455</v>
      </c>
    </row>
    <row r="370" ht="15.0" customHeight="1">
      <c r="A370" s="51">
        <v>77.0</v>
      </c>
      <c r="B370" s="51" t="s">
        <v>61</v>
      </c>
      <c r="C370" s="51">
        <v>208.0</v>
      </c>
      <c r="D370" s="51" t="s">
        <v>22</v>
      </c>
      <c r="E370" s="51" t="s">
        <v>23</v>
      </c>
      <c r="F370" s="51" t="s">
        <v>299</v>
      </c>
      <c r="G370" s="51" t="s">
        <v>300</v>
      </c>
      <c r="H370" s="52">
        <v>4.38</v>
      </c>
      <c r="I370" s="52">
        <v>4.38</v>
      </c>
      <c r="J370" s="52">
        <v>88.48</v>
      </c>
      <c r="K370" s="52">
        <f t="shared" si="78"/>
        <v>4.358766272</v>
      </c>
      <c r="L370" s="52">
        <f t="shared" si="2"/>
        <v>13.07629882</v>
      </c>
      <c r="M370" s="52">
        <v>48.76</v>
      </c>
      <c r="N370" s="52">
        <v>80.73</v>
      </c>
      <c r="O370" s="52">
        <v>15.37</v>
      </c>
      <c r="P370" s="52">
        <v>1.75</v>
      </c>
      <c r="Q370" s="52">
        <v>0.33</v>
      </c>
      <c r="R370" s="52">
        <v>0.57</v>
      </c>
      <c r="S370" s="52">
        <f t="shared" si="3"/>
        <v>2.135688</v>
      </c>
      <c r="T370" s="52">
        <f t="shared" si="4"/>
        <v>3.535974</v>
      </c>
      <c r="U370" s="52">
        <f t="shared" si="5"/>
        <v>0.673206</v>
      </c>
      <c r="V370" s="52">
        <f t="shared" si="6"/>
        <v>0.07665</v>
      </c>
      <c r="W370" s="52">
        <f t="shared" si="7"/>
        <v>0.014454</v>
      </c>
      <c r="X370" s="52">
        <f t="shared" si="8"/>
        <v>0.024966</v>
      </c>
    </row>
    <row r="371" ht="15.0" customHeight="1">
      <c r="A371" s="51">
        <v>77.0</v>
      </c>
      <c r="B371" s="51" t="s">
        <v>61</v>
      </c>
      <c r="C371" s="51">
        <v>213.0</v>
      </c>
      <c r="D371" s="51" t="s">
        <v>24</v>
      </c>
      <c r="E371" s="51" t="s">
        <v>26</v>
      </c>
      <c r="F371" s="51" t="s">
        <v>299</v>
      </c>
      <c r="G371" s="51" t="s">
        <v>300</v>
      </c>
      <c r="H371" s="52">
        <v>1.8500000000000003</v>
      </c>
      <c r="I371" s="52">
        <v>1.8500000000000003</v>
      </c>
      <c r="J371" s="52">
        <v>99.89</v>
      </c>
      <c r="K371" s="52">
        <f t="shared" si="78"/>
        <v>1.630738409</v>
      </c>
      <c r="L371" s="52">
        <f t="shared" si="2"/>
        <v>4.892215228</v>
      </c>
      <c r="M371" s="52">
        <v>0.0</v>
      </c>
      <c r="N371" s="52">
        <v>0.0</v>
      </c>
      <c r="O371" s="52">
        <v>0.0</v>
      </c>
      <c r="P371" s="52">
        <v>0.0</v>
      </c>
      <c r="Q371" s="52">
        <v>37.35</v>
      </c>
      <c r="R371" s="52">
        <v>0.01</v>
      </c>
      <c r="S371" s="52">
        <f t="shared" si="3"/>
        <v>0</v>
      </c>
      <c r="T371" s="52">
        <f t="shared" si="4"/>
        <v>0</v>
      </c>
      <c r="U371" s="52">
        <f t="shared" si="5"/>
        <v>0</v>
      </c>
      <c r="V371" s="52">
        <f t="shared" si="6"/>
        <v>0</v>
      </c>
      <c r="W371" s="52">
        <f t="shared" si="7"/>
        <v>0.690975</v>
      </c>
      <c r="X371" s="52">
        <f t="shared" si="8"/>
        <v>0.000185</v>
      </c>
    </row>
    <row r="372" ht="15.0" customHeight="1">
      <c r="A372" s="51">
        <v>78.0</v>
      </c>
      <c r="B372" s="51" t="s">
        <v>61</v>
      </c>
      <c r="C372" s="51">
        <v>192.0</v>
      </c>
      <c r="D372" s="51" t="s">
        <v>16</v>
      </c>
      <c r="E372" s="51" t="s">
        <v>17</v>
      </c>
      <c r="F372" s="51" t="s">
        <v>299</v>
      </c>
      <c r="G372" s="51" t="s">
        <v>300</v>
      </c>
      <c r="H372" s="52">
        <v>19.12</v>
      </c>
      <c r="I372" s="52">
        <v>19.12</v>
      </c>
      <c r="J372" s="52">
        <v>88.05</v>
      </c>
      <c r="K372" s="52">
        <f t="shared" ref="K372:K375" si="79">IF(J372&gt;0,(I372/J372)/SUMPRODUCT($I$372:$I$375/$J$372:$J$375)*100,"")</f>
        <v>19.125877</v>
      </c>
      <c r="L372" s="52">
        <f t="shared" si="2"/>
        <v>57.377631</v>
      </c>
      <c r="M372" s="52">
        <v>17.12</v>
      </c>
      <c r="N372" s="52">
        <v>71.35</v>
      </c>
      <c r="O372" s="52">
        <v>43.96</v>
      </c>
      <c r="P372" s="52">
        <v>3.58</v>
      </c>
      <c r="Q372" s="52">
        <v>0.19</v>
      </c>
      <c r="R372" s="52">
        <v>0.95</v>
      </c>
      <c r="S372" s="52">
        <f t="shared" si="3"/>
        <v>3.273344</v>
      </c>
      <c r="T372" s="52">
        <f t="shared" si="4"/>
        <v>13.64212</v>
      </c>
      <c r="U372" s="52">
        <f t="shared" si="5"/>
        <v>8.405152</v>
      </c>
      <c r="V372" s="52">
        <f t="shared" si="6"/>
        <v>0.684496</v>
      </c>
      <c r="W372" s="52">
        <f t="shared" si="7"/>
        <v>0.036328</v>
      </c>
      <c r="X372" s="52">
        <f t="shared" si="8"/>
        <v>0.18164</v>
      </c>
    </row>
    <row r="373" ht="15.0" customHeight="1">
      <c r="A373" s="51">
        <v>78.0</v>
      </c>
      <c r="B373" s="51" t="s">
        <v>61</v>
      </c>
      <c r="C373" s="51">
        <v>188.0</v>
      </c>
      <c r="D373" s="51" t="s">
        <v>16</v>
      </c>
      <c r="E373" s="51" t="s">
        <v>19</v>
      </c>
      <c r="F373" s="51" t="s">
        <v>299</v>
      </c>
      <c r="G373" s="51" t="s">
        <v>300</v>
      </c>
      <c r="H373" s="52">
        <v>74.45</v>
      </c>
      <c r="I373" s="52">
        <v>74.45</v>
      </c>
      <c r="J373" s="52">
        <v>87.78</v>
      </c>
      <c r="K373" s="52">
        <f t="shared" si="79"/>
        <v>74.70195305</v>
      </c>
      <c r="L373" s="52">
        <f t="shared" si="2"/>
        <v>224.1058591</v>
      </c>
      <c r="M373" s="52">
        <v>9.1</v>
      </c>
      <c r="N373" s="52">
        <v>86.03</v>
      </c>
      <c r="O373" s="52">
        <v>14.39</v>
      </c>
      <c r="P373" s="52">
        <v>4.18</v>
      </c>
      <c r="Q373" s="52">
        <v>0.03</v>
      </c>
      <c r="R373" s="52">
        <v>0.25</v>
      </c>
      <c r="S373" s="52">
        <f t="shared" si="3"/>
        <v>6.77495</v>
      </c>
      <c r="T373" s="52">
        <f t="shared" si="4"/>
        <v>64.049335</v>
      </c>
      <c r="U373" s="52">
        <f t="shared" si="5"/>
        <v>10.713355</v>
      </c>
      <c r="V373" s="52">
        <f t="shared" si="6"/>
        <v>3.11201</v>
      </c>
      <c r="W373" s="52">
        <f t="shared" si="7"/>
        <v>0.022335</v>
      </c>
      <c r="X373" s="52">
        <f t="shared" si="8"/>
        <v>0.186125</v>
      </c>
    </row>
    <row r="374" ht="15.0" customHeight="1">
      <c r="A374" s="51">
        <v>78.0</v>
      </c>
      <c r="B374" s="51" t="s">
        <v>61</v>
      </c>
      <c r="C374" s="51">
        <v>208.0</v>
      </c>
      <c r="D374" s="51" t="s">
        <v>22</v>
      </c>
      <c r="E374" s="51" t="s">
        <v>23</v>
      </c>
      <c r="F374" s="51" t="s">
        <v>299</v>
      </c>
      <c r="G374" s="51" t="s">
        <v>300</v>
      </c>
      <c r="H374" s="52">
        <v>4.42</v>
      </c>
      <c r="I374" s="52">
        <v>4.42</v>
      </c>
      <c r="J374" s="52">
        <v>88.48</v>
      </c>
      <c r="K374" s="52">
        <f t="shared" si="79"/>
        <v>4.399871432</v>
      </c>
      <c r="L374" s="52">
        <f t="shared" si="2"/>
        <v>13.1996143</v>
      </c>
      <c r="M374" s="52">
        <v>48.76</v>
      </c>
      <c r="N374" s="52">
        <v>80.73</v>
      </c>
      <c r="O374" s="52">
        <v>15.37</v>
      </c>
      <c r="P374" s="52">
        <v>1.75</v>
      </c>
      <c r="Q374" s="52">
        <v>0.33</v>
      </c>
      <c r="R374" s="52">
        <v>0.57</v>
      </c>
      <c r="S374" s="52">
        <f t="shared" si="3"/>
        <v>2.155192</v>
      </c>
      <c r="T374" s="52">
        <f t="shared" si="4"/>
        <v>3.568266</v>
      </c>
      <c r="U374" s="52">
        <f t="shared" si="5"/>
        <v>0.679354</v>
      </c>
      <c r="V374" s="52">
        <f t="shared" si="6"/>
        <v>0.07735</v>
      </c>
      <c r="W374" s="52">
        <f t="shared" si="7"/>
        <v>0.014586</v>
      </c>
      <c r="X374" s="52">
        <f t="shared" si="8"/>
        <v>0.025194</v>
      </c>
    </row>
    <row r="375" ht="15.0" customHeight="1">
      <c r="A375" s="51">
        <v>78.0</v>
      </c>
      <c r="B375" s="51" t="s">
        <v>61</v>
      </c>
      <c r="C375" s="51">
        <v>213.0</v>
      </c>
      <c r="D375" s="51" t="s">
        <v>24</v>
      </c>
      <c r="E375" s="51" t="s">
        <v>26</v>
      </c>
      <c r="F375" s="51" t="s">
        <v>299</v>
      </c>
      <c r="G375" s="51" t="s">
        <v>300</v>
      </c>
      <c r="H375" s="52">
        <v>2.01</v>
      </c>
      <c r="I375" s="52">
        <v>2.01</v>
      </c>
      <c r="J375" s="52">
        <v>99.89</v>
      </c>
      <c r="K375" s="52">
        <f t="shared" si="79"/>
        <v>1.772298521</v>
      </c>
      <c r="L375" s="52">
        <f t="shared" si="2"/>
        <v>5.316895564</v>
      </c>
      <c r="M375" s="52">
        <v>0.0</v>
      </c>
      <c r="N375" s="52">
        <v>0.0</v>
      </c>
      <c r="O375" s="52">
        <v>0.0</v>
      </c>
      <c r="P375" s="52">
        <v>0.0</v>
      </c>
      <c r="Q375" s="52">
        <v>37.35</v>
      </c>
      <c r="R375" s="52">
        <v>0.01</v>
      </c>
      <c r="S375" s="52">
        <f t="shared" si="3"/>
        <v>0</v>
      </c>
      <c r="T375" s="52">
        <f t="shared" si="4"/>
        <v>0</v>
      </c>
      <c r="U375" s="52">
        <f t="shared" si="5"/>
        <v>0</v>
      </c>
      <c r="V375" s="52">
        <f t="shared" si="6"/>
        <v>0</v>
      </c>
      <c r="W375" s="52">
        <f t="shared" si="7"/>
        <v>0.750735</v>
      </c>
      <c r="X375" s="52">
        <f t="shared" si="8"/>
        <v>0.000201</v>
      </c>
    </row>
    <row r="376" ht="15.0" customHeight="1">
      <c r="A376" s="51">
        <v>79.0</v>
      </c>
      <c r="B376" s="51" t="s">
        <v>61</v>
      </c>
      <c r="C376" s="51">
        <v>192.0</v>
      </c>
      <c r="D376" s="51" t="s">
        <v>16</v>
      </c>
      <c r="E376" s="51" t="s">
        <v>17</v>
      </c>
      <c r="F376" s="51" t="s">
        <v>299</v>
      </c>
      <c r="G376" s="51" t="s">
        <v>300</v>
      </c>
      <c r="H376" s="52">
        <v>21.66</v>
      </c>
      <c r="I376" s="52">
        <v>21.66</v>
      </c>
      <c r="J376" s="52">
        <v>88.05</v>
      </c>
      <c r="K376" s="52">
        <f t="shared" ref="K376:K379" si="80">IF(J376&gt;0,(I376/J376)/SUMPRODUCT($I$376:$I$379/$J$376:$J$379)*100,"")</f>
        <v>21.69769509</v>
      </c>
      <c r="L376" s="52">
        <f t="shared" si="2"/>
        <v>65.09308528</v>
      </c>
      <c r="M376" s="52">
        <v>17.12</v>
      </c>
      <c r="N376" s="52">
        <v>71.35</v>
      </c>
      <c r="O376" s="52">
        <v>43.96</v>
      </c>
      <c r="P376" s="52">
        <v>3.58</v>
      </c>
      <c r="Q376" s="52">
        <v>0.19</v>
      </c>
      <c r="R376" s="52">
        <v>0.95</v>
      </c>
      <c r="S376" s="52">
        <f t="shared" si="3"/>
        <v>3.708192</v>
      </c>
      <c r="T376" s="52">
        <f t="shared" si="4"/>
        <v>15.45441</v>
      </c>
      <c r="U376" s="52">
        <f t="shared" si="5"/>
        <v>9.521736</v>
      </c>
      <c r="V376" s="52">
        <f t="shared" si="6"/>
        <v>0.775428</v>
      </c>
      <c r="W376" s="52">
        <f t="shared" si="7"/>
        <v>0.041154</v>
      </c>
      <c r="X376" s="52">
        <f t="shared" si="8"/>
        <v>0.20577</v>
      </c>
    </row>
    <row r="377" ht="15.0" customHeight="1">
      <c r="A377" s="51">
        <v>79.0</v>
      </c>
      <c r="B377" s="51" t="s">
        <v>61</v>
      </c>
      <c r="C377" s="51">
        <v>188.0</v>
      </c>
      <c r="D377" s="51" t="s">
        <v>16</v>
      </c>
      <c r="E377" s="51" t="s">
        <v>19</v>
      </c>
      <c r="F377" s="51" t="s">
        <v>299</v>
      </c>
      <c r="G377" s="51" t="s">
        <v>300</v>
      </c>
      <c r="H377" s="52">
        <v>56.88000000000001</v>
      </c>
      <c r="I377" s="52">
        <v>56.88000000000001</v>
      </c>
      <c r="J377" s="52">
        <v>87.78</v>
      </c>
      <c r="K377" s="52">
        <f t="shared" si="80"/>
        <v>57.15424882</v>
      </c>
      <c r="L377" s="52">
        <f t="shared" si="2"/>
        <v>171.4627465</v>
      </c>
      <c r="M377" s="52">
        <v>9.1</v>
      </c>
      <c r="N377" s="52">
        <v>86.03</v>
      </c>
      <c r="O377" s="52">
        <v>14.39</v>
      </c>
      <c r="P377" s="52">
        <v>4.18</v>
      </c>
      <c r="Q377" s="52">
        <v>0.03</v>
      </c>
      <c r="R377" s="52">
        <v>0.25</v>
      </c>
      <c r="S377" s="52">
        <f t="shared" si="3"/>
        <v>5.17608</v>
      </c>
      <c r="T377" s="52">
        <f t="shared" si="4"/>
        <v>48.933864</v>
      </c>
      <c r="U377" s="52">
        <f t="shared" si="5"/>
        <v>8.185032</v>
      </c>
      <c r="V377" s="52">
        <f t="shared" si="6"/>
        <v>2.377584</v>
      </c>
      <c r="W377" s="52">
        <f t="shared" si="7"/>
        <v>0.017064</v>
      </c>
      <c r="X377" s="52">
        <f t="shared" si="8"/>
        <v>0.1422</v>
      </c>
    </row>
    <row r="378" ht="15.0" customHeight="1">
      <c r="A378" s="51">
        <v>79.0</v>
      </c>
      <c r="B378" s="51" t="s">
        <v>61</v>
      </c>
      <c r="C378" s="51">
        <v>208.0</v>
      </c>
      <c r="D378" s="51" t="s">
        <v>22</v>
      </c>
      <c r="E378" s="51" t="s">
        <v>23</v>
      </c>
      <c r="F378" s="51" t="s">
        <v>299</v>
      </c>
      <c r="G378" s="51" t="s">
        <v>300</v>
      </c>
      <c r="H378" s="52">
        <v>19.309999999999995</v>
      </c>
      <c r="I378" s="52">
        <v>19.309999999999995</v>
      </c>
      <c r="J378" s="52">
        <v>88.48</v>
      </c>
      <c r="K378" s="52">
        <f t="shared" si="80"/>
        <v>19.24959824</v>
      </c>
      <c r="L378" s="52">
        <f t="shared" si="2"/>
        <v>57.74879473</v>
      </c>
      <c r="M378" s="52">
        <v>48.76</v>
      </c>
      <c r="N378" s="52">
        <v>80.73</v>
      </c>
      <c r="O378" s="52">
        <v>15.37</v>
      </c>
      <c r="P378" s="52">
        <v>1.75</v>
      </c>
      <c r="Q378" s="52">
        <v>0.33</v>
      </c>
      <c r="R378" s="52">
        <v>0.57</v>
      </c>
      <c r="S378" s="52">
        <f t="shared" si="3"/>
        <v>9.415556</v>
      </c>
      <c r="T378" s="52">
        <f t="shared" si="4"/>
        <v>15.588963</v>
      </c>
      <c r="U378" s="52">
        <f t="shared" si="5"/>
        <v>2.967947</v>
      </c>
      <c r="V378" s="52">
        <f t="shared" si="6"/>
        <v>0.337925</v>
      </c>
      <c r="W378" s="52">
        <f t="shared" si="7"/>
        <v>0.063723</v>
      </c>
      <c r="X378" s="52">
        <f t="shared" si="8"/>
        <v>0.110067</v>
      </c>
    </row>
    <row r="379" ht="15.0" customHeight="1">
      <c r="A379" s="51">
        <v>79.0</v>
      </c>
      <c r="B379" s="51" t="s">
        <v>61</v>
      </c>
      <c r="C379" s="51">
        <v>213.0</v>
      </c>
      <c r="D379" s="51" t="s">
        <v>24</v>
      </c>
      <c r="E379" s="51" t="s">
        <v>26</v>
      </c>
      <c r="F379" s="51" t="s">
        <v>299</v>
      </c>
      <c r="G379" s="51" t="s">
        <v>300</v>
      </c>
      <c r="H379" s="52">
        <v>2.15</v>
      </c>
      <c r="I379" s="52">
        <v>2.15</v>
      </c>
      <c r="J379" s="52">
        <v>99.89</v>
      </c>
      <c r="K379" s="52">
        <f t="shared" si="80"/>
        <v>1.898457839</v>
      </c>
      <c r="L379" s="52">
        <f t="shared" si="2"/>
        <v>5.695373517</v>
      </c>
      <c r="M379" s="52">
        <v>0.0</v>
      </c>
      <c r="N379" s="52">
        <v>0.0</v>
      </c>
      <c r="O379" s="52">
        <v>0.0</v>
      </c>
      <c r="P379" s="52">
        <v>0.0</v>
      </c>
      <c r="Q379" s="52">
        <v>37.35</v>
      </c>
      <c r="R379" s="52">
        <v>0.01</v>
      </c>
      <c r="S379" s="52">
        <f t="shared" si="3"/>
        <v>0</v>
      </c>
      <c r="T379" s="52">
        <f t="shared" si="4"/>
        <v>0</v>
      </c>
      <c r="U379" s="52">
        <f t="shared" si="5"/>
        <v>0</v>
      </c>
      <c r="V379" s="52">
        <f t="shared" si="6"/>
        <v>0</v>
      </c>
      <c r="W379" s="52">
        <f t="shared" si="7"/>
        <v>0.803025</v>
      </c>
      <c r="X379" s="52">
        <f t="shared" si="8"/>
        <v>0.000215</v>
      </c>
    </row>
    <row r="380" ht="15.0" customHeight="1">
      <c r="A380" s="51">
        <v>80.0</v>
      </c>
      <c r="B380" s="51" t="s">
        <v>61</v>
      </c>
      <c r="C380" s="51">
        <v>192.0</v>
      </c>
      <c r="D380" s="51" t="s">
        <v>16</v>
      </c>
      <c r="E380" s="51" t="s">
        <v>17</v>
      </c>
      <c r="F380" s="51" t="s">
        <v>299</v>
      </c>
      <c r="G380" s="51" t="s">
        <v>300</v>
      </c>
      <c r="H380" s="52">
        <v>33.86</v>
      </c>
      <c r="I380" s="52">
        <v>33.86</v>
      </c>
      <c r="J380" s="52">
        <v>88.05</v>
      </c>
      <c r="K380" s="52">
        <f t="shared" ref="K380:K383" si="81">IF(J380&gt;0,(I380/J380)/SUMPRODUCT($I$380:$I$383/$J$380:$J$383)*100,"")</f>
        <v>33.89565381</v>
      </c>
      <c r="L380" s="52">
        <f t="shared" si="2"/>
        <v>101.6869614</v>
      </c>
      <c r="M380" s="52">
        <v>17.12</v>
      </c>
      <c r="N380" s="52">
        <v>71.35</v>
      </c>
      <c r="O380" s="52">
        <v>43.96</v>
      </c>
      <c r="P380" s="52">
        <v>3.58</v>
      </c>
      <c r="Q380" s="52">
        <v>0.19</v>
      </c>
      <c r="R380" s="52">
        <v>0.95</v>
      </c>
      <c r="S380" s="52">
        <f t="shared" si="3"/>
        <v>5.796832</v>
      </c>
      <c r="T380" s="52">
        <f t="shared" si="4"/>
        <v>24.15911</v>
      </c>
      <c r="U380" s="52">
        <f t="shared" si="5"/>
        <v>14.884856</v>
      </c>
      <c r="V380" s="52">
        <f t="shared" si="6"/>
        <v>1.212188</v>
      </c>
      <c r="W380" s="52">
        <f t="shared" si="7"/>
        <v>0.064334</v>
      </c>
      <c r="X380" s="52">
        <f t="shared" si="8"/>
        <v>0.32167</v>
      </c>
    </row>
    <row r="381" ht="15.0" customHeight="1">
      <c r="A381" s="51">
        <v>80.0</v>
      </c>
      <c r="B381" s="51" t="s">
        <v>61</v>
      </c>
      <c r="C381" s="51">
        <v>188.0</v>
      </c>
      <c r="D381" s="51" t="s">
        <v>16</v>
      </c>
      <c r="E381" s="51" t="s">
        <v>19</v>
      </c>
      <c r="F381" s="51" t="s">
        <v>299</v>
      </c>
      <c r="G381" s="51" t="s">
        <v>300</v>
      </c>
      <c r="H381" s="52">
        <v>61.77</v>
      </c>
      <c r="I381" s="52">
        <v>61.77</v>
      </c>
      <c r="J381" s="52">
        <v>87.78</v>
      </c>
      <c r="K381" s="52">
        <f t="shared" si="81"/>
        <v>62.02523904</v>
      </c>
      <c r="L381" s="52">
        <f t="shared" si="2"/>
        <v>186.0757171</v>
      </c>
      <c r="M381" s="52">
        <v>9.1</v>
      </c>
      <c r="N381" s="52">
        <v>86.03</v>
      </c>
      <c r="O381" s="52">
        <v>14.39</v>
      </c>
      <c r="P381" s="52">
        <v>4.18</v>
      </c>
      <c r="Q381" s="52">
        <v>0.03</v>
      </c>
      <c r="R381" s="52">
        <v>0.25</v>
      </c>
      <c r="S381" s="52">
        <f t="shared" si="3"/>
        <v>5.62107</v>
      </c>
      <c r="T381" s="52">
        <f t="shared" si="4"/>
        <v>53.140731</v>
      </c>
      <c r="U381" s="52">
        <f t="shared" si="5"/>
        <v>8.888703</v>
      </c>
      <c r="V381" s="52">
        <f t="shared" si="6"/>
        <v>2.581986</v>
      </c>
      <c r="W381" s="52">
        <f t="shared" si="7"/>
        <v>0.018531</v>
      </c>
      <c r="X381" s="52">
        <f t="shared" si="8"/>
        <v>0.154425</v>
      </c>
    </row>
    <row r="382" ht="15.0" customHeight="1">
      <c r="A382" s="51">
        <v>80.0</v>
      </c>
      <c r="B382" s="51" t="s">
        <v>61</v>
      </c>
      <c r="C382" s="51">
        <v>208.0</v>
      </c>
      <c r="D382" s="51" t="s">
        <v>22</v>
      </c>
      <c r="E382" s="51" t="s">
        <v>23</v>
      </c>
      <c r="F382" s="51" t="s">
        <v>299</v>
      </c>
      <c r="G382" s="51" t="s">
        <v>300</v>
      </c>
      <c r="H382" s="52">
        <v>1.96</v>
      </c>
      <c r="I382" s="52">
        <v>1.96</v>
      </c>
      <c r="J382" s="52">
        <v>88.48</v>
      </c>
      <c r="K382" s="52">
        <f t="shared" si="81"/>
        <v>1.952528489</v>
      </c>
      <c r="L382" s="52">
        <f t="shared" si="2"/>
        <v>5.857585467</v>
      </c>
      <c r="M382" s="52">
        <v>48.76</v>
      </c>
      <c r="N382" s="52">
        <v>80.73</v>
      </c>
      <c r="O382" s="52">
        <v>15.37</v>
      </c>
      <c r="P382" s="52">
        <v>1.75</v>
      </c>
      <c r="Q382" s="52">
        <v>0.33</v>
      </c>
      <c r="R382" s="52">
        <v>0.57</v>
      </c>
      <c r="S382" s="52">
        <f t="shared" si="3"/>
        <v>0.955696</v>
      </c>
      <c r="T382" s="52">
        <f t="shared" si="4"/>
        <v>1.582308</v>
      </c>
      <c r="U382" s="52">
        <f t="shared" si="5"/>
        <v>0.301252</v>
      </c>
      <c r="V382" s="52">
        <f t="shared" si="6"/>
        <v>0.0343</v>
      </c>
      <c r="W382" s="52">
        <f t="shared" si="7"/>
        <v>0.006468</v>
      </c>
      <c r="X382" s="52">
        <f t="shared" si="8"/>
        <v>0.011172</v>
      </c>
    </row>
    <row r="383" ht="15.0" customHeight="1">
      <c r="A383" s="51">
        <v>80.0</v>
      </c>
      <c r="B383" s="51" t="s">
        <v>61</v>
      </c>
      <c r="C383" s="51">
        <v>213.0</v>
      </c>
      <c r="D383" s="51" t="s">
        <v>24</v>
      </c>
      <c r="E383" s="51" t="s">
        <v>26</v>
      </c>
      <c r="F383" s="51" t="s">
        <v>299</v>
      </c>
      <c r="G383" s="51" t="s">
        <v>300</v>
      </c>
      <c r="H383" s="52">
        <v>2.41</v>
      </c>
      <c r="I383" s="52">
        <v>2.41</v>
      </c>
      <c r="J383" s="52">
        <v>99.89</v>
      </c>
      <c r="K383" s="52">
        <f t="shared" si="81"/>
        <v>2.126578659</v>
      </c>
      <c r="L383" s="52">
        <f t="shared" si="2"/>
        <v>6.379735978</v>
      </c>
      <c r="M383" s="52">
        <v>0.0</v>
      </c>
      <c r="N383" s="52">
        <v>0.0</v>
      </c>
      <c r="O383" s="52">
        <v>0.0</v>
      </c>
      <c r="P383" s="52">
        <v>0.0</v>
      </c>
      <c r="Q383" s="52">
        <v>37.35</v>
      </c>
      <c r="R383" s="52">
        <v>0.01</v>
      </c>
      <c r="S383" s="52">
        <f t="shared" si="3"/>
        <v>0</v>
      </c>
      <c r="T383" s="52">
        <f t="shared" si="4"/>
        <v>0</v>
      </c>
      <c r="U383" s="52">
        <f t="shared" si="5"/>
        <v>0</v>
      </c>
      <c r="V383" s="52">
        <f t="shared" si="6"/>
        <v>0</v>
      </c>
      <c r="W383" s="52">
        <f t="shared" si="7"/>
        <v>0.900135</v>
      </c>
      <c r="X383" s="52">
        <f t="shared" si="8"/>
        <v>0.000241</v>
      </c>
    </row>
    <row r="384" ht="15.0" customHeight="1">
      <c r="A384" s="51">
        <v>82.0</v>
      </c>
      <c r="B384" s="51" t="s">
        <v>61</v>
      </c>
      <c r="C384" s="51">
        <v>188.0</v>
      </c>
      <c r="D384" s="51" t="s">
        <v>16</v>
      </c>
      <c r="E384" s="51" t="s">
        <v>19</v>
      </c>
      <c r="F384" s="51" t="s">
        <v>299</v>
      </c>
      <c r="G384" s="51" t="s">
        <v>300</v>
      </c>
      <c r="H384" s="52">
        <v>37.109808196277235</v>
      </c>
      <c r="I384" s="52">
        <v>37.11</v>
      </c>
      <c r="J384" s="52">
        <v>87.78</v>
      </c>
      <c r="K384" s="52">
        <f t="shared" ref="K384:K391" si="82">IF(J384&gt;0,(I384/J384)/SUMPRODUCT($I$384:$I$391/$J$384:$J$391)*100,"")</f>
        <v>37.38436916</v>
      </c>
      <c r="L384" s="52">
        <f t="shared" si="2"/>
        <v>112.1531075</v>
      </c>
      <c r="M384" s="52">
        <v>9.1</v>
      </c>
      <c r="N384" s="52">
        <v>86.03</v>
      </c>
      <c r="O384" s="52">
        <v>14.39</v>
      </c>
      <c r="P384" s="52">
        <v>4.18</v>
      </c>
      <c r="Q384" s="52">
        <v>0.03</v>
      </c>
      <c r="R384" s="52">
        <v>0.25</v>
      </c>
      <c r="S384" s="52">
        <f t="shared" si="3"/>
        <v>3.37701</v>
      </c>
      <c r="T384" s="52">
        <f t="shared" si="4"/>
        <v>31.925733</v>
      </c>
      <c r="U384" s="52">
        <f t="shared" si="5"/>
        <v>5.340129</v>
      </c>
      <c r="V384" s="52">
        <f t="shared" si="6"/>
        <v>1.551198</v>
      </c>
      <c r="W384" s="52">
        <f t="shared" si="7"/>
        <v>0.011133</v>
      </c>
      <c r="X384" s="52">
        <f t="shared" si="8"/>
        <v>0.092775</v>
      </c>
    </row>
    <row r="385" ht="15.0" customHeight="1">
      <c r="A385" s="51">
        <v>82.0</v>
      </c>
      <c r="B385" s="51" t="s">
        <v>61</v>
      </c>
      <c r="C385" s="51">
        <v>173.0</v>
      </c>
      <c r="D385" s="51" t="s">
        <v>16</v>
      </c>
      <c r="E385" s="51" t="s">
        <v>52</v>
      </c>
      <c r="F385" s="51" t="s">
        <v>299</v>
      </c>
      <c r="G385" s="51" t="s">
        <v>300</v>
      </c>
      <c r="H385" s="52">
        <v>7.78044715067031</v>
      </c>
      <c r="I385" s="52">
        <v>7.780000000000001</v>
      </c>
      <c r="J385" s="52">
        <v>90.57</v>
      </c>
      <c r="K385" s="52">
        <f t="shared" si="82"/>
        <v>7.596086612</v>
      </c>
      <c r="L385" s="52">
        <f t="shared" si="2"/>
        <v>22.78825984</v>
      </c>
      <c r="M385" s="52">
        <v>14.21</v>
      </c>
      <c r="N385" s="52">
        <v>75.24</v>
      </c>
      <c r="O385" s="52">
        <v>27.69</v>
      </c>
      <c r="P385" s="52">
        <v>5.13</v>
      </c>
      <c r="Q385" s="52">
        <v>0.13</v>
      </c>
      <c r="R385" s="52">
        <v>0.35</v>
      </c>
      <c r="S385" s="52">
        <f t="shared" si="3"/>
        <v>1.105538</v>
      </c>
      <c r="T385" s="52">
        <f t="shared" si="4"/>
        <v>5.853672</v>
      </c>
      <c r="U385" s="52">
        <f t="shared" si="5"/>
        <v>2.154282</v>
      </c>
      <c r="V385" s="52">
        <f t="shared" si="6"/>
        <v>0.399114</v>
      </c>
      <c r="W385" s="52">
        <f t="shared" si="7"/>
        <v>0.010114</v>
      </c>
      <c r="X385" s="52">
        <f t="shared" si="8"/>
        <v>0.02723</v>
      </c>
    </row>
    <row r="386" ht="15.0" customHeight="1">
      <c r="A386" s="51">
        <v>82.0</v>
      </c>
      <c r="B386" s="51" t="s">
        <v>61</v>
      </c>
      <c r="C386" s="51">
        <v>191.0</v>
      </c>
      <c r="D386" s="51" t="s">
        <v>16</v>
      </c>
      <c r="E386" s="51" t="s">
        <v>271</v>
      </c>
      <c r="F386" s="51" t="s">
        <v>299</v>
      </c>
      <c r="G386" s="51" t="s">
        <v>300</v>
      </c>
      <c r="H386" s="52">
        <v>8.21988322119386</v>
      </c>
      <c r="I386" s="52">
        <v>8.22</v>
      </c>
      <c r="J386" s="52">
        <v>88.26</v>
      </c>
      <c r="K386" s="52">
        <f t="shared" si="82"/>
        <v>8.235738968</v>
      </c>
      <c r="L386" s="52">
        <f t="shared" si="2"/>
        <v>24.70721691</v>
      </c>
      <c r="M386" s="52">
        <v>9.7</v>
      </c>
      <c r="N386" s="52">
        <v>78.8</v>
      </c>
      <c r="O386" s="52">
        <v>17.27</v>
      </c>
      <c r="P386" s="52">
        <v>2.96</v>
      </c>
      <c r="Q386" s="52">
        <v>0.04</v>
      </c>
      <c r="R386" s="52">
        <v>0.28</v>
      </c>
      <c r="S386" s="52">
        <f t="shared" si="3"/>
        <v>0.79734</v>
      </c>
      <c r="T386" s="52">
        <f t="shared" si="4"/>
        <v>6.47736</v>
      </c>
      <c r="U386" s="52">
        <f t="shared" si="5"/>
        <v>1.419594</v>
      </c>
      <c r="V386" s="52">
        <f t="shared" si="6"/>
        <v>0.243312</v>
      </c>
      <c r="W386" s="52">
        <f t="shared" si="7"/>
        <v>0.003288</v>
      </c>
      <c r="X386" s="52">
        <f t="shared" si="8"/>
        <v>0.023016</v>
      </c>
    </row>
    <row r="387" ht="15.0" customHeight="1">
      <c r="A387" s="51">
        <v>82.0</v>
      </c>
      <c r="B387" s="51" t="s">
        <v>61</v>
      </c>
      <c r="C387" s="51">
        <v>181.0</v>
      </c>
      <c r="D387" s="51" t="s">
        <v>16</v>
      </c>
      <c r="E387" s="51" t="s">
        <v>272</v>
      </c>
      <c r="F387" s="51" t="s">
        <v>299</v>
      </c>
      <c r="G387" s="51" t="s">
        <v>300</v>
      </c>
      <c r="H387" s="52">
        <v>4.999082942579772</v>
      </c>
      <c r="I387" s="52">
        <v>5.0</v>
      </c>
      <c r="J387" s="52">
        <v>83.98</v>
      </c>
      <c r="K387" s="52">
        <f t="shared" si="82"/>
        <v>5.264884072</v>
      </c>
      <c r="L387" s="52">
        <f t="shared" si="2"/>
        <v>15.79465221</v>
      </c>
      <c r="M387" s="52">
        <v>3.3</v>
      </c>
      <c r="N387" s="52">
        <v>69.75</v>
      </c>
      <c r="O387" s="52">
        <v>6.03</v>
      </c>
      <c r="P387" s="52">
        <v>1.36</v>
      </c>
      <c r="Q387" s="52">
        <v>1.7</v>
      </c>
      <c r="R387" s="52">
        <v>0.12</v>
      </c>
      <c r="S387" s="52">
        <f t="shared" si="3"/>
        <v>0.165</v>
      </c>
      <c r="T387" s="52">
        <f t="shared" si="4"/>
        <v>3.4875</v>
      </c>
      <c r="U387" s="52">
        <f t="shared" si="5"/>
        <v>0.3015</v>
      </c>
      <c r="V387" s="52">
        <f t="shared" si="6"/>
        <v>0.068</v>
      </c>
      <c r="W387" s="52">
        <f t="shared" si="7"/>
        <v>0.085</v>
      </c>
      <c r="X387" s="52">
        <f t="shared" si="8"/>
        <v>0.006</v>
      </c>
    </row>
    <row r="388" ht="15.0" customHeight="1">
      <c r="A388" s="51">
        <v>82.0</v>
      </c>
      <c r="B388" s="51" t="s">
        <v>61</v>
      </c>
      <c r="C388" s="51">
        <v>208.0</v>
      </c>
      <c r="D388" s="51" t="s">
        <v>22</v>
      </c>
      <c r="E388" s="51" t="s">
        <v>23</v>
      </c>
      <c r="F388" s="51" t="s">
        <v>299</v>
      </c>
      <c r="G388" s="51" t="s">
        <v>300</v>
      </c>
      <c r="H388" s="52">
        <v>38.7547668128814</v>
      </c>
      <c r="I388" s="52">
        <v>38.75</v>
      </c>
      <c r="J388" s="52">
        <v>88.48</v>
      </c>
      <c r="K388" s="52">
        <f t="shared" si="82"/>
        <v>38.72766132</v>
      </c>
      <c r="L388" s="52">
        <f t="shared" si="2"/>
        <v>116.182984</v>
      </c>
      <c r="M388" s="52">
        <v>48.76</v>
      </c>
      <c r="N388" s="52">
        <v>80.73</v>
      </c>
      <c r="O388" s="52">
        <v>15.37</v>
      </c>
      <c r="P388" s="52">
        <v>1.75</v>
      </c>
      <c r="Q388" s="52">
        <v>0.33</v>
      </c>
      <c r="R388" s="52">
        <v>0.57</v>
      </c>
      <c r="S388" s="52">
        <f t="shared" si="3"/>
        <v>18.8945</v>
      </c>
      <c r="T388" s="52">
        <f t="shared" si="4"/>
        <v>31.282875</v>
      </c>
      <c r="U388" s="52">
        <f t="shared" si="5"/>
        <v>5.955875</v>
      </c>
      <c r="V388" s="52">
        <f t="shared" si="6"/>
        <v>0.678125</v>
      </c>
      <c r="W388" s="52">
        <f t="shared" si="7"/>
        <v>0.127875</v>
      </c>
      <c r="X388" s="52">
        <f t="shared" si="8"/>
        <v>0.220875</v>
      </c>
    </row>
    <row r="389" ht="15.0" customHeight="1">
      <c r="A389" s="51">
        <v>82.0</v>
      </c>
      <c r="B389" s="51" t="s">
        <v>61</v>
      </c>
      <c r="C389" s="51">
        <v>213.0</v>
      </c>
      <c r="D389" s="51" t="s">
        <v>24</v>
      </c>
      <c r="E389" s="51" t="s">
        <v>26</v>
      </c>
      <c r="F389" s="51" t="s">
        <v>299</v>
      </c>
      <c r="G389" s="51" t="s">
        <v>300</v>
      </c>
      <c r="H389" s="52">
        <v>1.6386702879108976</v>
      </c>
      <c r="I389" s="52">
        <v>1.6399999999999997</v>
      </c>
      <c r="J389" s="52">
        <v>99.89</v>
      </c>
      <c r="K389" s="52">
        <f t="shared" si="82"/>
        <v>1.451832499</v>
      </c>
      <c r="L389" s="52">
        <f t="shared" si="2"/>
        <v>4.355497496</v>
      </c>
      <c r="M389" s="52">
        <v>0.0</v>
      </c>
      <c r="N389" s="52">
        <v>0.0</v>
      </c>
      <c r="O389" s="52">
        <v>0.0</v>
      </c>
      <c r="P389" s="52">
        <v>0.0</v>
      </c>
      <c r="Q389" s="52">
        <v>37.35</v>
      </c>
      <c r="R389" s="52">
        <v>0.01</v>
      </c>
      <c r="S389" s="52">
        <f t="shared" si="3"/>
        <v>0</v>
      </c>
      <c r="T389" s="52">
        <f t="shared" si="4"/>
        <v>0</v>
      </c>
      <c r="U389" s="52">
        <f t="shared" si="5"/>
        <v>0</v>
      </c>
      <c r="V389" s="52">
        <f t="shared" si="6"/>
        <v>0</v>
      </c>
      <c r="W389" s="52">
        <f t="shared" si="7"/>
        <v>0.61254</v>
      </c>
      <c r="X389" s="52">
        <f t="shared" si="8"/>
        <v>0.000164</v>
      </c>
    </row>
    <row r="390" ht="15.0" customHeight="1">
      <c r="A390" s="51">
        <v>82.0</v>
      </c>
      <c r="B390" s="51" t="s">
        <v>61</v>
      </c>
      <c r="C390" s="51">
        <v>224.0</v>
      </c>
      <c r="D390" s="51" t="s">
        <v>164</v>
      </c>
      <c r="E390" s="51" t="s">
        <v>165</v>
      </c>
      <c r="F390" s="51" t="s">
        <v>299</v>
      </c>
      <c r="G390" s="51" t="s">
        <v>300</v>
      </c>
      <c r="H390" s="52">
        <v>0.9986706942432597</v>
      </c>
      <c r="I390" s="52">
        <v>1.0</v>
      </c>
      <c r="J390" s="52">
        <v>99.02</v>
      </c>
      <c r="K390" s="52">
        <f t="shared" si="82"/>
        <v>0.8930417377</v>
      </c>
      <c r="L390" s="52">
        <f t="shared" si="2"/>
        <v>2.679125213</v>
      </c>
      <c r="M390" s="52">
        <v>0.0</v>
      </c>
      <c r="N390" s="52">
        <v>0.0</v>
      </c>
      <c r="O390" s="52">
        <v>0.0</v>
      </c>
      <c r="P390" s="52">
        <v>0.0</v>
      </c>
      <c r="Q390" s="52">
        <v>0.0</v>
      </c>
      <c r="R390" s="52">
        <v>0.0</v>
      </c>
      <c r="S390" s="52">
        <f t="shared" si="3"/>
        <v>0</v>
      </c>
      <c r="T390" s="52">
        <f t="shared" si="4"/>
        <v>0</v>
      </c>
      <c r="U390" s="52">
        <f t="shared" si="5"/>
        <v>0</v>
      </c>
      <c r="V390" s="52">
        <f t="shared" si="6"/>
        <v>0</v>
      </c>
      <c r="W390" s="52">
        <f t="shared" si="7"/>
        <v>0</v>
      </c>
      <c r="X390" s="52">
        <f t="shared" si="8"/>
        <v>0</v>
      </c>
    </row>
    <row r="391" ht="15.0" customHeight="1">
      <c r="A391" s="51">
        <v>82.0</v>
      </c>
      <c r="B391" s="51" t="s">
        <v>61</v>
      </c>
      <c r="C391" s="51">
        <v>225.0</v>
      </c>
      <c r="D391" s="51" t="s">
        <v>164</v>
      </c>
      <c r="E391" s="51" t="s">
        <v>274</v>
      </c>
      <c r="F391" s="51" t="s">
        <v>299</v>
      </c>
      <c r="G391" s="51" t="s">
        <v>300</v>
      </c>
      <c r="H391" s="52">
        <v>0.49867069424325966</v>
      </c>
      <c r="I391" s="52">
        <v>0.5</v>
      </c>
      <c r="J391" s="52">
        <v>99.05</v>
      </c>
      <c r="K391" s="52">
        <f t="shared" si="82"/>
        <v>0.4463856278</v>
      </c>
      <c r="L391" s="52">
        <f t="shared" si="2"/>
        <v>1.339156883</v>
      </c>
      <c r="M391" s="52">
        <v>0.0</v>
      </c>
      <c r="N391" s="52">
        <v>0.0</v>
      </c>
      <c r="O391" s="52">
        <v>0.0</v>
      </c>
      <c r="P391" s="52">
        <v>0.0</v>
      </c>
      <c r="Q391" s="52">
        <v>0.0</v>
      </c>
      <c r="R391" s="52">
        <v>0.0</v>
      </c>
      <c r="S391" s="52">
        <f t="shared" si="3"/>
        <v>0</v>
      </c>
      <c r="T391" s="52">
        <f t="shared" si="4"/>
        <v>0</v>
      </c>
      <c r="U391" s="52">
        <f t="shared" si="5"/>
        <v>0</v>
      </c>
      <c r="V391" s="52">
        <f t="shared" si="6"/>
        <v>0</v>
      </c>
      <c r="W391" s="52">
        <f t="shared" si="7"/>
        <v>0</v>
      </c>
      <c r="X391" s="52">
        <f t="shared" si="8"/>
        <v>0</v>
      </c>
    </row>
    <row r="392" ht="15.0" customHeight="1">
      <c r="A392" s="51">
        <v>83.0</v>
      </c>
      <c r="B392" s="51" t="s">
        <v>61</v>
      </c>
      <c r="C392" s="51">
        <v>192.0</v>
      </c>
      <c r="D392" s="51" t="s">
        <v>16</v>
      </c>
      <c r="E392" s="51" t="s">
        <v>17</v>
      </c>
      <c r="F392" s="51" t="s">
        <v>299</v>
      </c>
      <c r="G392" s="51" t="s">
        <v>300</v>
      </c>
      <c r="H392" s="52">
        <v>10.484879997059341</v>
      </c>
      <c r="I392" s="52">
        <v>10.484619902462008</v>
      </c>
      <c r="J392" s="52">
        <v>88.05</v>
      </c>
      <c r="K392" s="52">
        <f t="shared" ref="K392:K395" si="83">IF(J392&gt;0,(I392/J392)/SUMPRODUCT($I$392:$I$395/$J$392:$J$395)*100,"")</f>
        <v>10.48080033</v>
      </c>
      <c r="L392" s="52">
        <f t="shared" si="2"/>
        <v>31.44240099</v>
      </c>
      <c r="M392" s="52">
        <v>17.12</v>
      </c>
      <c r="N392" s="52">
        <v>71.35</v>
      </c>
      <c r="O392" s="52">
        <v>43.96</v>
      </c>
      <c r="P392" s="52">
        <v>3.58</v>
      </c>
      <c r="Q392" s="52">
        <v>0.19</v>
      </c>
      <c r="R392" s="52">
        <v>0.95</v>
      </c>
      <c r="S392" s="52">
        <f t="shared" si="3"/>
        <v>1.794966927</v>
      </c>
      <c r="T392" s="52">
        <f t="shared" si="4"/>
        <v>7.4807763</v>
      </c>
      <c r="U392" s="52">
        <f t="shared" si="5"/>
        <v>4.609038909</v>
      </c>
      <c r="V392" s="52">
        <f t="shared" si="6"/>
        <v>0.3753493925</v>
      </c>
      <c r="W392" s="52">
        <f t="shared" si="7"/>
        <v>0.01992077781</v>
      </c>
      <c r="X392" s="52">
        <f t="shared" si="8"/>
        <v>0.09960388907</v>
      </c>
    </row>
    <row r="393" ht="15.0" customHeight="1">
      <c r="A393" s="51">
        <v>83.0</v>
      </c>
      <c r="B393" s="51" t="s">
        <v>61</v>
      </c>
      <c r="C393" s="51">
        <v>188.0</v>
      </c>
      <c r="D393" s="51" t="s">
        <v>16</v>
      </c>
      <c r="E393" s="51" t="s">
        <v>19</v>
      </c>
      <c r="F393" s="51" t="s">
        <v>299</v>
      </c>
      <c r="G393" s="51" t="s">
        <v>300</v>
      </c>
      <c r="H393" s="52">
        <v>83.43725472577987</v>
      </c>
      <c r="I393" s="52">
        <v>83.43747013483602</v>
      </c>
      <c r="J393" s="52">
        <v>87.78</v>
      </c>
      <c r="K393" s="52">
        <f t="shared" si="83"/>
        <v>83.66362311</v>
      </c>
      <c r="L393" s="52">
        <f t="shared" si="2"/>
        <v>250.9908693</v>
      </c>
      <c r="M393" s="52">
        <v>9.1</v>
      </c>
      <c r="N393" s="52">
        <v>86.03</v>
      </c>
      <c r="O393" s="52">
        <v>14.39</v>
      </c>
      <c r="P393" s="52">
        <v>4.18</v>
      </c>
      <c r="Q393" s="52">
        <v>0.03</v>
      </c>
      <c r="R393" s="52">
        <v>0.25</v>
      </c>
      <c r="S393" s="52">
        <f t="shared" si="3"/>
        <v>7.592809782</v>
      </c>
      <c r="T393" s="52">
        <f t="shared" si="4"/>
        <v>71.78125556</v>
      </c>
      <c r="U393" s="52">
        <f t="shared" si="5"/>
        <v>12.00665195</v>
      </c>
      <c r="V393" s="52">
        <f t="shared" si="6"/>
        <v>3.487686252</v>
      </c>
      <c r="W393" s="52">
        <f t="shared" si="7"/>
        <v>0.02503124104</v>
      </c>
      <c r="X393" s="52">
        <f t="shared" si="8"/>
        <v>0.2085936753</v>
      </c>
    </row>
    <row r="394" ht="15.0" customHeight="1">
      <c r="A394" s="51">
        <v>83.0</v>
      </c>
      <c r="B394" s="51" t="s">
        <v>61</v>
      </c>
      <c r="C394" s="51">
        <v>208.0</v>
      </c>
      <c r="D394" s="51" t="s">
        <v>22</v>
      </c>
      <c r="E394" s="51" t="s">
        <v>23</v>
      </c>
      <c r="F394" s="51" t="s">
        <v>299</v>
      </c>
      <c r="G394" s="51" t="s">
        <v>300</v>
      </c>
      <c r="H394" s="52">
        <v>4.4005404411334075</v>
      </c>
      <c r="I394" s="52">
        <v>4.40059156084414</v>
      </c>
      <c r="J394" s="52">
        <v>88.48</v>
      </c>
      <c r="K394" s="52">
        <f t="shared" si="83"/>
        <v>4.377609968</v>
      </c>
      <c r="L394" s="52">
        <f t="shared" si="2"/>
        <v>13.1328299</v>
      </c>
      <c r="M394" s="52">
        <v>48.76</v>
      </c>
      <c r="N394" s="52">
        <v>80.73</v>
      </c>
      <c r="O394" s="52">
        <v>15.37</v>
      </c>
      <c r="P394" s="52">
        <v>1.75</v>
      </c>
      <c r="Q394" s="52">
        <v>0.33</v>
      </c>
      <c r="R394" s="52">
        <v>0.57</v>
      </c>
      <c r="S394" s="52">
        <f t="shared" si="3"/>
        <v>2.145728445</v>
      </c>
      <c r="T394" s="52">
        <f t="shared" si="4"/>
        <v>3.552597567</v>
      </c>
      <c r="U394" s="52">
        <f t="shared" si="5"/>
        <v>0.6763709229</v>
      </c>
      <c r="V394" s="52">
        <f t="shared" si="6"/>
        <v>0.07701035231</v>
      </c>
      <c r="W394" s="52">
        <f t="shared" si="7"/>
        <v>0.01452195215</v>
      </c>
      <c r="X394" s="52">
        <f t="shared" si="8"/>
        <v>0.0250833719</v>
      </c>
    </row>
    <row r="395" ht="15.0" customHeight="1">
      <c r="A395" s="51">
        <v>83.0</v>
      </c>
      <c r="B395" s="51" t="s">
        <v>61</v>
      </c>
      <c r="C395" s="51">
        <v>213.0</v>
      </c>
      <c r="D395" s="51" t="s">
        <v>24</v>
      </c>
      <c r="E395" s="51" t="s">
        <v>26</v>
      </c>
      <c r="F395" s="51" t="s">
        <v>299</v>
      </c>
      <c r="G395" s="51" t="s">
        <v>300</v>
      </c>
      <c r="H395" s="52">
        <v>1.6773248360273978</v>
      </c>
      <c r="I395" s="52">
        <v>1.6773184018578353</v>
      </c>
      <c r="J395" s="52">
        <v>99.89</v>
      </c>
      <c r="K395" s="52">
        <f t="shared" si="83"/>
        <v>1.477966586</v>
      </c>
      <c r="L395" s="52">
        <f t="shared" si="2"/>
        <v>4.433899757</v>
      </c>
      <c r="M395" s="52">
        <v>0.0</v>
      </c>
      <c r="N395" s="52">
        <v>0.0</v>
      </c>
      <c r="O395" s="52">
        <v>0.0</v>
      </c>
      <c r="P395" s="52">
        <v>0.0</v>
      </c>
      <c r="Q395" s="52">
        <v>37.35</v>
      </c>
      <c r="R395" s="52">
        <v>0.01</v>
      </c>
      <c r="S395" s="52">
        <f t="shared" si="3"/>
        <v>0</v>
      </c>
      <c r="T395" s="52">
        <f t="shared" si="4"/>
        <v>0</v>
      </c>
      <c r="U395" s="52">
        <f t="shared" si="5"/>
        <v>0</v>
      </c>
      <c r="V395" s="52">
        <f t="shared" si="6"/>
        <v>0</v>
      </c>
      <c r="W395" s="52">
        <f t="shared" si="7"/>
        <v>0.6264784231</v>
      </c>
      <c r="X395" s="52">
        <f t="shared" si="8"/>
        <v>0.0001677318402</v>
      </c>
    </row>
    <row r="396" ht="15.0" customHeight="1">
      <c r="A396" s="51">
        <v>84.0</v>
      </c>
      <c r="B396" s="51" t="s">
        <v>259</v>
      </c>
      <c r="C396" s="51">
        <v>168.0</v>
      </c>
      <c r="D396" s="51" t="s">
        <v>18</v>
      </c>
      <c r="E396" s="51" t="s">
        <v>20</v>
      </c>
      <c r="F396" s="51" t="s">
        <v>314</v>
      </c>
      <c r="G396" s="51" t="s">
        <v>300</v>
      </c>
      <c r="H396" s="52">
        <v>37.94525214900684</v>
      </c>
      <c r="I396" s="52">
        <v>50.0</v>
      </c>
      <c r="J396" s="52">
        <v>31.59</v>
      </c>
      <c r="K396" s="52">
        <f t="shared" ref="K396:K400" si="84">IF(J396&gt;0,(I396/J396)/SUMPRODUCT($I$396:$I$400/$J$396:$J$400)*100,"")</f>
        <v>73.69208121</v>
      </c>
      <c r="L396" s="52">
        <f t="shared" si="2"/>
        <v>221.0762436</v>
      </c>
      <c r="M396" s="52">
        <v>7.27</v>
      </c>
      <c r="N396" s="52">
        <v>63.13</v>
      </c>
      <c r="O396" s="52">
        <v>55.27</v>
      </c>
      <c r="P396" s="52">
        <v>3.13</v>
      </c>
      <c r="Q396" s="52">
        <v>0.3</v>
      </c>
      <c r="R396" s="52">
        <v>0.19</v>
      </c>
      <c r="S396" s="52">
        <f t="shared" si="3"/>
        <v>3.635</v>
      </c>
      <c r="T396" s="52">
        <f t="shared" si="4"/>
        <v>31.565</v>
      </c>
      <c r="U396" s="52">
        <f t="shared" si="5"/>
        <v>27.635</v>
      </c>
      <c r="V396" s="52">
        <f t="shared" si="6"/>
        <v>1.565</v>
      </c>
      <c r="W396" s="52">
        <f t="shared" si="7"/>
        <v>0.15</v>
      </c>
      <c r="X396" s="52">
        <f t="shared" si="8"/>
        <v>0.095</v>
      </c>
    </row>
    <row r="397" ht="15.0" customHeight="1">
      <c r="A397" s="51">
        <v>84.0</v>
      </c>
      <c r="B397" s="51" t="s">
        <v>259</v>
      </c>
      <c r="C397" s="51">
        <v>188.0</v>
      </c>
      <c r="D397" s="51" t="s">
        <v>16</v>
      </c>
      <c r="E397" s="51" t="s">
        <v>19</v>
      </c>
      <c r="F397" s="51" t="s">
        <v>299</v>
      </c>
      <c r="G397" s="51" t="s">
        <v>300</v>
      </c>
      <c r="H397" s="52">
        <v>34.749280534821516</v>
      </c>
      <c r="I397" s="52">
        <v>28.06293557528146</v>
      </c>
      <c r="J397" s="52">
        <v>87.78</v>
      </c>
      <c r="K397" s="52">
        <f t="shared" si="84"/>
        <v>14.88462736</v>
      </c>
      <c r="L397" s="52">
        <f t="shared" si="2"/>
        <v>44.65388207</v>
      </c>
      <c r="M397" s="52">
        <v>9.1</v>
      </c>
      <c r="N397" s="52">
        <v>86.03</v>
      </c>
      <c r="O397" s="52">
        <v>14.39</v>
      </c>
      <c r="P397" s="52">
        <v>4.18</v>
      </c>
      <c r="Q397" s="52">
        <v>0.03</v>
      </c>
      <c r="R397" s="52">
        <v>0.25</v>
      </c>
      <c r="S397" s="52">
        <f t="shared" si="3"/>
        <v>2.553727137</v>
      </c>
      <c r="T397" s="52">
        <f t="shared" si="4"/>
        <v>24.14254348</v>
      </c>
      <c r="U397" s="52">
        <f t="shared" si="5"/>
        <v>4.038256429</v>
      </c>
      <c r="V397" s="52">
        <f t="shared" si="6"/>
        <v>1.173030707</v>
      </c>
      <c r="W397" s="52">
        <f t="shared" si="7"/>
        <v>0.008418880673</v>
      </c>
      <c r="X397" s="52">
        <f t="shared" si="8"/>
        <v>0.07015733894</v>
      </c>
    </row>
    <row r="398" ht="15.0" customHeight="1">
      <c r="A398" s="51">
        <v>84.0</v>
      </c>
      <c r="B398" s="51" t="s">
        <v>259</v>
      </c>
      <c r="C398" s="51">
        <v>208.0</v>
      </c>
      <c r="D398" s="51" t="s">
        <v>22</v>
      </c>
      <c r="E398" s="51" t="s">
        <v>23</v>
      </c>
      <c r="F398" s="51" t="s">
        <v>299</v>
      </c>
      <c r="G398" s="51" t="s">
        <v>300</v>
      </c>
      <c r="H398" s="52">
        <v>26.201936683689798</v>
      </c>
      <c r="I398" s="52">
        <v>19.869035171283983</v>
      </c>
      <c r="J398" s="52">
        <v>88.48</v>
      </c>
      <c r="K398" s="52">
        <f t="shared" si="84"/>
        <v>10.4551943</v>
      </c>
      <c r="L398" s="52">
        <f t="shared" si="2"/>
        <v>31.3655829</v>
      </c>
      <c r="M398" s="52">
        <v>48.76</v>
      </c>
      <c r="N398" s="52">
        <v>80.73</v>
      </c>
      <c r="O398" s="52">
        <v>15.37</v>
      </c>
      <c r="P398" s="52">
        <v>1.75</v>
      </c>
      <c r="Q398" s="52">
        <v>0.33</v>
      </c>
      <c r="R398" s="52">
        <v>0.57</v>
      </c>
      <c r="S398" s="52">
        <f t="shared" si="3"/>
        <v>9.68814155</v>
      </c>
      <c r="T398" s="52">
        <f t="shared" si="4"/>
        <v>16.04027209</v>
      </c>
      <c r="U398" s="52">
        <f t="shared" si="5"/>
        <v>3.053870706</v>
      </c>
      <c r="V398" s="52">
        <f t="shared" si="6"/>
        <v>0.3477081155</v>
      </c>
      <c r="W398" s="52">
        <f t="shared" si="7"/>
        <v>0.06556781607</v>
      </c>
      <c r="X398" s="52">
        <f t="shared" si="8"/>
        <v>0.1132535005</v>
      </c>
    </row>
    <row r="399" ht="15.0" customHeight="1">
      <c r="A399" s="51">
        <v>84.0</v>
      </c>
      <c r="B399" s="51" t="s">
        <v>259</v>
      </c>
      <c r="C399" s="51">
        <v>213.0</v>
      </c>
      <c r="D399" s="51" t="s">
        <v>24</v>
      </c>
      <c r="E399" s="51" t="s">
        <v>26</v>
      </c>
      <c r="F399" s="51" t="s">
        <v>299</v>
      </c>
      <c r="G399" s="51" t="s">
        <v>300</v>
      </c>
      <c r="H399" s="52">
        <v>1.1035306324818615</v>
      </c>
      <c r="I399" s="52">
        <v>1.068029253434555</v>
      </c>
      <c r="J399" s="52">
        <v>99.89</v>
      </c>
      <c r="K399" s="52">
        <f t="shared" si="84"/>
        <v>0.4978076643</v>
      </c>
      <c r="L399" s="52">
        <f t="shared" si="2"/>
        <v>1.493422993</v>
      </c>
      <c r="M399" s="52">
        <v>0.0</v>
      </c>
      <c r="N399" s="52">
        <v>0.0</v>
      </c>
      <c r="O399" s="52">
        <v>0.0</v>
      </c>
      <c r="P399" s="52">
        <v>0.0</v>
      </c>
      <c r="Q399" s="52">
        <v>37.35</v>
      </c>
      <c r="R399" s="52">
        <v>0.01</v>
      </c>
      <c r="S399" s="52">
        <f t="shared" si="3"/>
        <v>0</v>
      </c>
      <c r="T399" s="52">
        <f t="shared" si="4"/>
        <v>0</v>
      </c>
      <c r="U399" s="52">
        <f t="shared" si="5"/>
        <v>0</v>
      </c>
      <c r="V399" s="52">
        <f t="shared" si="6"/>
        <v>0</v>
      </c>
      <c r="W399" s="52">
        <f t="shared" si="7"/>
        <v>0.3989089262</v>
      </c>
      <c r="X399" s="52">
        <f t="shared" si="8"/>
        <v>0.0001068029253</v>
      </c>
    </row>
    <row r="400" ht="15.0" customHeight="1">
      <c r="A400" s="51">
        <v>84.0</v>
      </c>
      <c r="B400" s="51" t="s">
        <v>259</v>
      </c>
      <c r="C400" s="51">
        <v>211.0</v>
      </c>
      <c r="D400" s="51" t="s">
        <v>22</v>
      </c>
      <c r="E400" s="51" t="s">
        <v>25</v>
      </c>
      <c r="F400" s="51" t="s">
        <v>299</v>
      </c>
      <c r="G400" s="51" t="s">
        <v>300</v>
      </c>
      <c r="H400" s="52">
        <v>0.0</v>
      </c>
      <c r="I400" s="52">
        <v>1.0</v>
      </c>
      <c r="J400" s="52">
        <v>99.0</v>
      </c>
      <c r="K400" s="52">
        <f t="shared" si="84"/>
        <v>0.4702894638</v>
      </c>
      <c r="L400" s="52">
        <f t="shared" si="2"/>
        <v>1.410868391</v>
      </c>
      <c r="M400" s="52">
        <v>280.0</v>
      </c>
      <c r="N400" s="52">
        <v>0.0</v>
      </c>
      <c r="O400" s="52">
        <v>0.0</v>
      </c>
      <c r="P400" s="52">
        <v>0.0</v>
      </c>
      <c r="Q400" s="52">
        <v>0.0</v>
      </c>
      <c r="R400" s="52">
        <v>0.0</v>
      </c>
      <c r="S400" s="52">
        <f t="shared" si="3"/>
        <v>2.8</v>
      </c>
      <c r="T400" s="52">
        <f t="shared" si="4"/>
        <v>0</v>
      </c>
      <c r="U400" s="52">
        <f t="shared" si="5"/>
        <v>0</v>
      </c>
      <c r="V400" s="52">
        <f t="shared" si="6"/>
        <v>0</v>
      </c>
      <c r="W400" s="52">
        <f t="shared" si="7"/>
        <v>0</v>
      </c>
      <c r="X400" s="52">
        <f t="shared" si="8"/>
        <v>0</v>
      </c>
    </row>
    <row r="401" ht="15.0" customHeight="1">
      <c r="A401" s="51">
        <v>84.0</v>
      </c>
      <c r="B401" s="51" t="s">
        <v>266</v>
      </c>
      <c r="C401" s="51">
        <v>168.0</v>
      </c>
      <c r="D401" s="51" t="s">
        <v>18</v>
      </c>
      <c r="E401" s="51" t="s">
        <v>20</v>
      </c>
      <c r="F401" s="51" t="s">
        <v>314</v>
      </c>
      <c r="G401" s="51" t="s">
        <v>300</v>
      </c>
      <c r="H401" s="52">
        <v>37.94525214900684</v>
      </c>
      <c r="I401" s="52">
        <v>47.5</v>
      </c>
      <c r="J401" s="52">
        <v>31.59</v>
      </c>
      <c r="K401" s="52">
        <f t="shared" ref="K401:K405" si="85">IF(J401&gt;0,(I401/J401)/SUMPRODUCT($I$401:$I$405/$J$401:$J$405)*100,"")</f>
        <v>71.69911345</v>
      </c>
      <c r="L401" s="52">
        <f t="shared" si="2"/>
        <v>215.0973404</v>
      </c>
      <c r="M401" s="52">
        <v>7.27</v>
      </c>
      <c r="N401" s="52">
        <v>63.13</v>
      </c>
      <c r="O401" s="52">
        <v>55.27</v>
      </c>
      <c r="P401" s="52">
        <v>3.13</v>
      </c>
      <c r="Q401" s="52">
        <v>0.3</v>
      </c>
      <c r="R401" s="52">
        <v>0.19</v>
      </c>
      <c r="S401" s="52">
        <f t="shared" si="3"/>
        <v>3.45325</v>
      </c>
      <c r="T401" s="52">
        <f t="shared" si="4"/>
        <v>29.98675</v>
      </c>
      <c r="U401" s="52">
        <f t="shared" si="5"/>
        <v>26.25325</v>
      </c>
      <c r="V401" s="52">
        <f t="shared" si="6"/>
        <v>1.48675</v>
      </c>
      <c r="W401" s="52">
        <f t="shared" si="7"/>
        <v>0.1425</v>
      </c>
      <c r="X401" s="52">
        <f t="shared" si="8"/>
        <v>0.09025</v>
      </c>
    </row>
    <row r="402" ht="15.0" customHeight="1">
      <c r="A402" s="51">
        <v>84.0</v>
      </c>
      <c r="B402" s="51" t="s">
        <v>266</v>
      </c>
      <c r="C402" s="51">
        <v>188.0</v>
      </c>
      <c r="D402" s="51" t="s">
        <v>16</v>
      </c>
      <c r="E402" s="51" t="s">
        <v>19</v>
      </c>
      <c r="F402" s="51" t="s">
        <v>299</v>
      </c>
      <c r="G402" s="51" t="s">
        <v>300</v>
      </c>
      <c r="H402" s="52">
        <v>34.749280534821516</v>
      </c>
      <c r="I402" s="52">
        <v>30.654957229387055</v>
      </c>
      <c r="J402" s="52">
        <v>87.78</v>
      </c>
      <c r="K402" s="52">
        <f t="shared" si="85"/>
        <v>16.65232736</v>
      </c>
      <c r="L402" s="52">
        <f t="shared" si="2"/>
        <v>49.95698209</v>
      </c>
      <c r="M402" s="52">
        <v>9.1</v>
      </c>
      <c r="N402" s="52">
        <v>86.03</v>
      </c>
      <c r="O402" s="52">
        <v>14.39</v>
      </c>
      <c r="P402" s="52">
        <v>4.18</v>
      </c>
      <c r="Q402" s="52">
        <v>0.03</v>
      </c>
      <c r="R402" s="52">
        <v>0.25</v>
      </c>
      <c r="S402" s="52">
        <f t="shared" si="3"/>
        <v>2.789601108</v>
      </c>
      <c r="T402" s="52">
        <f t="shared" si="4"/>
        <v>26.3724597</v>
      </c>
      <c r="U402" s="52">
        <f t="shared" si="5"/>
        <v>4.411248345</v>
      </c>
      <c r="V402" s="52">
        <f t="shared" si="6"/>
        <v>1.281377212</v>
      </c>
      <c r="W402" s="52">
        <f t="shared" si="7"/>
        <v>0.009196487169</v>
      </c>
      <c r="X402" s="52">
        <f t="shared" si="8"/>
        <v>0.07663739307</v>
      </c>
    </row>
    <row r="403" ht="15.0" customHeight="1">
      <c r="A403" s="51">
        <v>84.0</v>
      </c>
      <c r="B403" s="51" t="s">
        <v>266</v>
      </c>
      <c r="C403" s="51">
        <v>208.0</v>
      </c>
      <c r="D403" s="51" t="s">
        <v>22</v>
      </c>
      <c r="E403" s="51" t="s">
        <v>23</v>
      </c>
      <c r="F403" s="51" t="s">
        <v>299</v>
      </c>
      <c r="G403" s="51" t="s">
        <v>300</v>
      </c>
      <c r="H403" s="52">
        <v>26.201936683689798</v>
      </c>
      <c r="I403" s="52">
        <v>19.758034411391456</v>
      </c>
      <c r="J403" s="52">
        <v>88.48</v>
      </c>
      <c r="K403" s="52">
        <f t="shared" si="85"/>
        <v>10.64800939</v>
      </c>
      <c r="L403" s="52">
        <f t="shared" si="2"/>
        <v>31.94402817</v>
      </c>
      <c r="M403" s="52">
        <v>48.76</v>
      </c>
      <c r="N403" s="52">
        <v>80.73</v>
      </c>
      <c r="O403" s="52">
        <v>15.37</v>
      </c>
      <c r="P403" s="52">
        <v>1.75</v>
      </c>
      <c r="Q403" s="52">
        <v>0.33</v>
      </c>
      <c r="R403" s="52">
        <v>0.57</v>
      </c>
      <c r="S403" s="52">
        <f t="shared" si="3"/>
        <v>9.634017579</v>
      </c>
      <c r="T403" s="52">
        <f t="shared" si="4"/>
        <v>15.95066118</v>
      </c>
      <c r="U403" s="52">
        <f t="shared" si="5"/>
        <v>3.036809889</v>
      </c>
      <c r="V403" s="52">
        <f t="shared" si="6"/>
        <v>0.3457656022</v>
      </c>
      <c r="W403" s="52">
        <f t="shared" si="7"/>
        <v>0.06520151356</v>
      </c>
      <c r="X403" s="52">
        <f t="shared" si="8"/>
        <v>0.1126207961</v>
      </c>
    </row>
    <row r="404" ht="15.0" customHeight="1">
      <c r="A404" s="51">
        <v>84.0</v>
      </c>
      <c r="B404" s="51" t="s">
        <v>266</v>
      </c>
      <c r="C404" s="51">
        <v>213.0</v>
      </c>
      <c r="D404" s="51" t="s">
        <v>24</v>
      </c>
      <c r="E404" s="51" t="s">
        <v>26</v>
      </c>
      <c r="F404" s="51" t="s">
        <v>299</v>
      </c>
      <c r="G404" s="51" t="s">
        <v>300</v>
      </c>
      <c r="H404" s="52">
        <v>1.1035306324818615</v>
      </c>
      <c r="I404" s="52">
        <v>1.0870083592214994</v>
      </c>
      <c r="J404" s="52">
        <v>99.89</v>
      </c>
      <c r="K404" s="52">
        <f t="shared" si="85"/>
        <v>0.518896418</v>
      </c>
      <c r="L404" s="52">
        <f t="shared" si="2"/>
        <v>1.556689254</v>
      </c>
      <c r="M404" s="52">
        <v>0.0</v>
      </c>
      <c r="N404" s="52">
        <v>0.0</v>
      </c>
      <c r="O404" s="52">
        <v>0.0</v>
      </c>
      <c r="P404" s="52">
        <v>0.0</v>
      </c>
      <c r="Q404" s="52">
        <v>37.35</v>
      </c>
      <c r="R404" s="52">
        <v>0.01</v>
      </c>
      <c r="S404" s="52">
        <f t="shared" si="3"/>
        <v>0</v>
      </c>
      <c r="T404" s="52">
        <f t="shared" si="4"/>
        <v>0</v>
      </c>
      <c r="U404" s="52">
        <f t="shared" si="5"/>
        <v>0</v>
      </c>
      <c r="V404" s="52">
        <f t="shared" si="6"/>
        <v>0</v>
      </c>
      <c r="W404" s="52">
        <f t="shared" si="7"/>
        <v>0.4059976222</v>
      </c>
      <c r="X404" s="52">
        <f t="shared" si="8"/>
        <v>0.0001087008359</v>
      </c>
    </row>
    <row r="405" ht="15.0" customHeight="1">
      <c r="A405" s="51">
        <v>84.0</v>
      </c>
      <c r="B405" s="51" t="s">
        <v>266</v>
      </c>
      <c r="C405" s="51">
        <v>211.0</v>
      </c>
      <c r="D405" s="51" t="s">
        <v>22</v>
      </c>
      <c r="E405" s="51" t="s">
        <v>25</v>
      </c>
      <c r="F405" s="51" t="s">
        <v>299</v>
      </c>
      <c r="G405" s="51" t="s">
        <v>300</v>
      </c>
      <c r="H405" s="52">
        <v>0.0</v>
      </c>
      <c r="I405" s="52">
        <v>1.0</v>
      </c>
      <c r="J405" s="52">
        <v>99.0</v>
      </c>
      <c r="K405" s="52">
        <f t="shared" si="85"/>
        <v>0.4816533746</v>
      </c>
      <c r="L405" s="52">
        <f t="shared" si="2"/>
        <v>1.444960124</v>
      </c>
      <c r="M405" s="52">
        <v>280.0</v>
      </c>
      <c r="N405" s="52">
        <v>0.0</v>
      </c>
      <c r="O405" s="52">
        <v>0.0</v>
      </c>
      <c r="P405" s="52">
        <v>0.0</v>
      </c>
      <c r="Q405" s="52">
        <v>0.0</v>
      </c>
      <c r="R405" s="52">
        <v>0.0</v>
      </c>
      <c r="S405" s="52">
        <f t="shared" si="3"/>
        <v>2.8</v>
      </c>
      <c r="T405" s="52">
        <f t="shared" si="4"/>
        <v>0</v>
      </c>
      <c r="U405" s="52">
        <f t="shared" si="5"/>
        <v>0</v>
      </c>
      <c r="V405" s="52">
        <f t="shared" si="6"/>
        <v>0</v>
      </c>
      <c r="W405" s="52">
        <f t="shared" si="7"/>
        <v>0</v>
      </c>
      <c r="X405" s="52">
        <f t="shared" si="8"/>
        <v>0</v>
      </c>
    </row>
    <row r="406" ht="15.0" customHeight="1">
      <c r="A406" s="51">
        <v>85.0</v>
      </c>
      <c r="B406" s="51" t="s">
        <v>259</v>
      </c>
      <c r="C406" s="51">
        <v>168.0</v>
      </c>
      <c r="D406" s="51" t="s">
        <v>18</v>
      </c>
      <c r="E406" s="51" t="s">
        <v>20</v>
      </c>
      <c r="F406" s="51" t="s">
        <v>314</v>
      </c>
      <c r="G406" s="51" t="s">
        <v>300</v>
      </c>
      <c r="H406" s="52">
        <v>37.94525214900679</v>
      </c>
      <c r="I406" s="52">
        <v>50.0</v>
      </c>
      <c r="J406" s="52">
        <v>31.59</v>
      </c>
      <c r="K406" s="52">
        <f t="shared" ref="K406:K409" si="86">IF(J406&gt;0,(I406/J406)/SUMPRODUCT($I$406:$I$409/$J$406:$J$409)*100,"")</f>
        <v>73.66623981</v>
      </c>
      <c r="L406" s="52">
        <f t="shared" si="2"/>
        <v>220.9987194</v>
      </c>
      <c r="M406" s="52">
        <v>7.27</v>
      </c>
      <c r="N406" s="52">
        <v>63.13</v>
      </c>
      <c r="O406" s="52">
        <v>55.27</v>
      </c>
      <c r="P406" s="52">
        <v>3.13</v>
      </c>
      <c r="Q406" s="52">
        <v>0.3</v>
      </c>
      <c r="R406" s="52">
        <v>0.19</v>
      </c>
      <c r="S406" s="52">
        <f t="shared" si="3"/>
        <v>3.635</v>
      </c>
      <c r="T406" s="52">
        <f t="shared" si="4"/>
        <v>31.565</v>
      </c>
      <c r="U406" s="52">
        <f t="shared" si="5"/>
        <v>27.635</v>
      </c>
      <c r="V406" s="52">
        <f t="shared" si="6"/>
        <v>1.565</v>
      </c>
      <c r="W406" s="52">
        <f t="shared" si="7"/>
        <v>0.15</v>
      </c>
      <c r="X406" s="52">
        <f t="shared" si="8"/>
        <v>0.095</v>
      </c>
    </row>
    <row r="407" ht="15.0" customHeight="1">
      <c r="A407" s="51">
        <v>85.0</v>
      </c>
      <c r="B407" s="51" t="s">
        <v>259</v>
      </c>
      <c r="C407" s="51">
        <v>188.0</v>
      </c>
      <c r="D407" s="51" t="s">
        <v>16</v>
      </c>
      <c r="E407" s="51" t="s">
        <v>19</v>
      </c>
      <c r="F407" s="51" t="s">
        <v>299</v>
      </c>
      <c r="G407" s="51" t="s">
        <v>300</v>
      </c>
      <c r="H407" s="52">
        <v>34.74928053482156</v>
      </c>
      <c r="I407" s="52">
        <v>22.30074472166885</v>
      </c>
      <c r="J407" s="52">
        <v>87.78</v>
      </c>
      <c r="K407" s="52">
        <f t="shared" si="86"/>
        <v>11.824204</v>
      </c>
      <c r="L407" s="52">
        <f t="shared" si="2"/>
        <v>35.472612</v>
      </c>
      <c r="M407" s="52">
        <v>9.1</v>
      </c>
      <c r="N407" s="52">
        <v>86.03</v>
      </c>
      <c r="O407" s="52">
        <v>14.39</v>
      </c>
      <c r="P407" s="52">
        <v>4.18</v>
      </c>
      <c r="Q407" s="52">
        <v>0.03</v>
      </c>
      <c r="R407" s="52">
        <v>0.25</v>
      </c>
      <c r="S407" s="52">
        <f t="shared" si="3"/>
        <v>2.02936777</v>
      </c>
      <c r="T407" s="52">
        <f t="shared" si="4"/>
        <v>19.18533068</v>
      </c>
      <c r="U407" s="52">
        <f t="shared" si="5"/>
        <v>3.209077165</v>
      </c>
      <c r="V407" s="52">
        <f t="shared" si="6"/>
        <v>0.9321711294</v>
      </c>
      <c r="W407" s="52">
        <f t="shared" si="7"/>
        <v>0.006690223417</v>
      </c>
      <c r="X407" s="52">
        <f t="shared" si="8"/>
        <v>0.0557518618</v>
      </c>
    </row>
    <row r="408" ht="15.0" customHeight="1">
      <c r="A408" s="51">
        <v>85.0</v>
      </c>
      <c r="B408" s="51" t="s">
        <v>259</v>
      </c>
      <c r="C408" s="51">
        <v>208.0</v>
      </c>
      <c r="D408" s="51" t="s">
        <v>22</v>
      </c>
      <c r="E408" s="51" t="s">
        <v>23</v>
      </c>
      <c r="F408" s="51" t="s">
        <v>299</v>
      </c>
      <c r="G408" s="51" t="s">
        <v>300</v>
      </c>
      <c r="H408" s="52">
        <v>26.201936683689773</v>
      </c>
      <c r="I408" s="52">
        <v>26.68683535110094</v>
      </c>
      <c r="J408" s="52">
        <v>88.48</v>
      </c>
      <c r="K408" s="52">
        <f t="shared" si="86"/>
        <v>14.03783347</v>
      </c>
      <c r="L408" s="52">
        <f t="shared" si="2"/>
        <v>42.11350042</v>
      </c>
      <c r="M408" s="52">
        <v>48.76</v>
      </c>
      <c r="N408" s="52">
        <v>80.73</v>
      </c>
      <c r="O408" s="52">
        <v>15.37</v>
      </c>
      <c r="P408" s="52">
        <v>1.75</v>
      </c>
      <c r="Q408" s="52">
        <v>0.33</v>
      </c>
      <c r="R408" s="52">
        <v>0.57</v>
      </c>
      <c r="S408" s="52">
        <f t="shared" si="3"/>
        <v>13.01250092</v>
      </c>
      <c r="T408" s="52">
        <f t="shared" si="4"/>
        <v>21.54428218</v>
      </c>
      <c r="U408" s="52">
        <f t="shared" si="5"/>
        <v>4.101766593</v>
      </c>
      <c r="V408" s="52">
        <f t="shared" si="6"/>
        <v>0.4670196186</v>
      </c>
      <c r="W408" s="52">
        <f t="shared" si="7"/>
        <v>0.08806655666</v>
      </c>
      <c r="X408" s="52">
        <f t="shared" si="8"/>
        <v>0.1521149615</v>
      </c>
    </row>
    <row r="409" ht="15.0" customHeight="1">
      <c r="A409" s="51">
        <v>85.0</v>
      </c>
      <c r="B409" s="51" t="s">
        <v>259</v>
      </c>
      <c r="C409" s="51">
        <v>213.0</v>
      </c>
      <c r="D409" s="51" t="s">
        <v>24</v>
      </c>
      <c r="E409" s="51" t="s">
        <v>26</v>
      </c>
      <c r="F409" s="51" t="s">
        <v>299</v>
      </c>
      <c r="G409" s="51" t="s">
        <v>300</v>
      </c>
      <c r="H409" s="52">
        <v>1.1035306324818788</v>
      </c>
      <c r="I409" s="52">
        <v>1.0124199272302137</v>
      </c>
      <c r="J409" s="52">
        <v>99.89</v>
      </c>
      <c r="K409" s="52">
        <f t="shared" si="86"/>
        <v>0.4717227216</v>
      </c>
      <c r="L409" s="52">
        <f t="shared" si="2"/>
        <v>1.415168165</v>
      </c>
      <c r="M409" s="52">
        <v>0.0</v>
      </c>
      <c r="N409" s="52">
        <v>0.0</v>
      </c>
      <c r="O409" s="52">
        <v>0.0</v>
      </c>
      <c r="P409" s="52">
        <v>0.0</v>
      </c>
      <c r="Q409" s="52">
        <v>37.35</v>
      </c>
      <c r="R409" s="52">
        <v>0.01</v>
      </c>
      <c r="S409" s="52">
        <f t="shared" si="3"/>
        <v>0</v>
      </c>
      <c r="T409" s="52">
        <f t="shared" si="4"/>
        <v>0</v>
      </c>
      <c r="U409" s="52">
        <f t="shared" si="5"/>
        <v>0</v>
      </c>
      <c r="V409" s="52">
        <f t="shared" si="6"/>
        <v>0</v>
      </c>
      <c r="W409" s="52">
        <f t="shared" si="7"/>
        <v>0.3781388428</v>
      </c>
      <c r="X409" s="52">
        <f t="shared" si="8"/>
        <v>0.0001012419927</v>
      </c>
    </row>
    <row r="410" ht="15.0" customHeight="1">
      <c r="A410" s="51">
        <v>85.0</v>
      </c>
      <c r="B410" s="51" t="s">
        <v>266</v>
      </c>
      <c r="C410" s="51">
        <v>168.0</v>
      </c>
      <c r="D410" s="51" t="s">
        <v>18</v>
      </c>
      <c r="E410" s="51" t="s">
        <v>20</v>
      </c>
      <c r="F410" s="51" t="s">
        <v>314</v>
      </c>
      <c r="G410" s="51" t="s">
        <v>300</v>
      </c>
      <c r="H410" s="52">
        <v>37.94525214900679</v>
      </c>
      <c r="I410" s="52">
        <v>47.5</v>
      </c>
      <c r="J410" s="52">
        <v>31.59</v>
      </c>
      <c r="K410" s="52">
        <f t="shared" ref="K410:K413" si="87">IF(J410&gt;0,(I410/J410)/SUMPRODUCT($I$410:$I$413/$J$410:$J$413)*100,"")</f>
        <v>71.67336359</v>
      </c>
      <c r="L410" s="52">
        <f t="shared" si="2"/>
        <v>215.0200908</v>
      </c>
      <c r="M410" s="52">
        <v>7.27</v>
      </c>
      <c r="N410" s="52">
        <v>63.13</v>
      </c>
      <c r="O410" s="52">
        <v>55.27</v>
      </c>
      <c r="P410" s="52">
        <v>3.13</v>
      </c>
      <c r="Q410" s="52">
        <v>0.3</v>
      </c>
      <c r="R410" s="52">
        <v>0.19</v>
      </c>
      <c r="S410" s="52">
        <f t="shared" si="3"/>
        <v>3.45325</v>
      </c>
      <c r="T410" s="52">
        <f t="shared" si="4"/>
        <v>29.98675</v>
      </c>
      <c r="U410" s="52">
        <f t="shared" si="5"/>
        <v>26.25325</v>
      </c>
      <c r="V410" s="52">
        <f t="shared" si="6"/>
        <v>1.48675</v>
      </c>
      <c r="W410" s="52">
        <f t="shared" si="7"/>
        <v>0.1425</v>
      </c>
      <c r="X410" s="52">
        <f t="shared" si="8"/>
        <v>0.09025</v>
      </c>
    </row>
    <row r="411" ht="15.0" customHeight="1">
      <c r="A411" s="51">
        <v>85.0</v>
      </c>
      <c r="B411" s="51" t="s">
        <v>266</v>
      </c>
      <c r="C411" s="51">
        <v>188.0</v>
      </c>
      <c r="D411" s="51" t="s">
        <v>16</v>
      </c>
      <c r="E411" s="51" t="s">
        <v>19</v>
      </c>
      <c r="F411" s="51" t="s">
        <v>299</v>
      </c>
      <c r="G411" s="51" t="s">
        <v>300</v>
      </c>
      <c r="H411" s="52">
        <v>34.74928053482156</v>
      </c>
      <c r="I411" s="52">
        <v>24.892766375774457</v>
      </c>
      <c r="J411" s="52">
        <v>87.78</v>
      </c>
      <c r="K411" s="52">
        <f t="shared" si="87"/>
        <v>13.51734471</v>
      </c>
      <c r="L411" s="52">
        <f t="shared" si="2"/>
        <v>40.55203414</v>
      </c>
      <c r="M411" s="52">
        <v>9.1</v>
      </c>
      <c r="N411" s="52">
        <v>86.03</v>
      </c>
      <c r="O411" s="52">
        <v>14.39</v>
      </c>
      <c r="P411" s="52">
        <v>4.18</v>
      </c>
      <c r="Q411" s="52">
        <v>0.03</v>
      </c>
      <c r="R411" s="52">
        <v>0.25</v>
      </c>
      <c r="S411" s="52">
        <f t="shared" si="3"/>
        <v>2.26524174</v>
      </c>
      <c r="T411" s="52">
        <f t="shared" si="4"/>
        <v>21.41524691</v>
      </c>
      <c r="U411" s="52">
        <f t="shared" si="5"/>
        <v>3.582069081</v>
      </c>
      <c r="V411" s="52">
        <f t="shared" si="6"/>
        <v>1.040517635</v>
      </c>
      <c r="W411" s="52">
        <f t="shared" si="7"/>
        <v>0.007467829913</v>
      </c>
      <c r="X411" s="52">
        <f t="shared" si="8"/>
        <v>0.06223191594</v>
      </c>
    </row>
    <row r="412" ht="15.0" customHeight="1">
      <c r="A412" s="51">
        <v>85.0</v>
      </c>
      <c r="B412" s="51" t="s">
        <v>266</v>
      </c>
      <c r="C412" s="51">
        <v>208.0</v>
      </c>
      <c r="D412" s="51" t="s">
        <v>22</v>
      </c>
      <c r="E412" s="51" t="s">
        <v>23</v>
      </c>
      <c r="F412" s="51" t="s">
        <v>299</v>
      </c>
      <c r="G412" s="51" t="s">
        <v>300</v>
      </c>
      <c r="H412" s="52">
        <v>26.201936683689773</v>
      </c>
      <c r="I412" s="52">
        <v>26.575834591208412</v>
      </c>
      <c r="J412" s="52">
        <v>88.48</v>
      </c>
      <c r="K412" s="52">
        <f t="shared" si="87"/>
        <v>14.31711787</v>
      </c>
      <c r="L412" s="52">
        <f t="shared" si="2"/>
        <v>42.95135362</v>
      </c>
      <c r="M412" s="52">
        <v>48.76</v>
      </c>
      <c r="N412" s="52">
        <v>80.73</v>
      </c>
      <c r="O412" s="52">
        <v>15.37</v>
      </c>
      <c r="P412" s="52">
        <v>1.75</v>
      </c>
      <c r="Q412" s="52">
        <v>0.33</v>
      </c>
      <c r="R412" s="52">
        <v>0.57</v>
      </c>
      <c r="S412" s="52">
        <f t="shared" si="3"/>
        <v>12.95837695</v>
      </c>
      <c r="T412" s="52">
        <f t="shared" si="4"/>
        <v>21.45467127</v>
      </c>
      <c r="U412" s="52">
        <f t="shared" si="5"/>
        <v>4.084705777</v>
      </c>
      <c r="V412" s="52">
        <f t="shared" si="6"/>
        <v>0.4650771053</v>
      </c>
      <c r="W412" s="52">
        <f t="shared" si="7"/>
        <v>0.08770025415</v>
      </c>
      <c r="X412" s="52">
        <f t="shared" si="8"/>
        <v>0.1514822572</v>
      </c>
    </row>
    <row r="413" ht="15.0" customHeight="1">
      <c r="A413" s="51">
        <v>85.0</v>
      </c>
      <c r="B413" s="51" t="s">
        <v>266</v>
      </c>
      <c r="C413" s="51">
        <v>213.0</v>
      </c>
      <c r="D413" s="51" t="s">
        <v>24</v>
      </c>
      <c r="E413" s="51" t="s">
        <v>26</v>
      </c>
      <c r="F413" s="51" t="s">
        <v>299</v>
      </c>
      <c r="G413" s="51" t="s">
        <v>300</v>
      </c>
      <c r="H413" s="52">
        <v>1.1035306324818788</v>
      </c>
      <c r="I413" s="52">
        <v>1.0313990330171279</v>
      </c>
      <c r="J413" s="52">
        <v>99.89</v>
      </c>
      <c r="K413" s="52">
        <f t="shared" si="87"/>
        <v>0.4921738205</v>
      </c>
      <c r="L413" s="52">
        <f t="shared" si="2"/>
        <v>1.476521462</v>
      </c>
      <c r="M413" s="52">
        <v>0.0</v>
      </c>
      <c r="N413" s="52">
        <v>0.0</v>
      </c>
      <c r="O413" s="52">
        <v>0.0</v>
      </c>
      <c r="P413" s="52">
        <v>0.0</v>
      </c>
      <c r="Q413" s="52">
        <v>37.35</v>
      </c>
      <c r="R413" s="52">
        <v>0.01</v>
      </c>
      <c r="S413" s="52">
        <f t="shared" si="3"/>
        <v>0</v>
      </c>
      <c r="T413" s="52">
        <f t="shared" si="4"/>
        <v>0</v>
      </c>
      <c r="U413" s="52">
        <f t="shared" si="5"/>
        <v>0</v>
      </c>
      <c r="V413" s="52">
        <f t="shared" si="6"/>
        <v>0</v>
      </c>
      <c r="W413" s="52">
        <f t="shared" si="7"/>
        <v>0.3852275388</v>
      </c>
      <c r="X413" s="52">
        <f t="shared" si="8"/>
        <v>0.0001031399033</v>
      </c>
    </row>
    <row r="414" ht="15.0" customHeight="1">
      <c r="A414" s="51">
        <v>86.0</v>
      </c>
      <c r="B414" s="51" t="s">
        <v>259</v>
      </c>
      <c r="C414" s="51">
        <v>168.0</v>
      </c>
      <c r="D414" s="51" t="s">
        <v>18</v>
      </c>
      <c r="E414" s="51" t="s">
        <v>20</v>
      </c>
      <c r="F414" s="51" t="s">
        <v>314</v>
      </c>
      <c r="G414" s="51" t="s">
        <v>300</v>
      </c>
      <c r="H414" s="52">
        <v>37.94504171077204</v>
      </c>
      <c r="I414" s="52">
        <v>50.0</v>
      </c>
      <c r="J414" s="52">
        <v>31.59</v>
      </c>
      <c r="K414" s="52">
        <f t="shared" ref="K414:K417" si="88">IF(J414&gt;0,(I414/J414)/SUMPRODUCT($I$414:$I$417/$J$414:$J$417)*100,"")</f>
        <v>73.66626116</v>
      </c>
      <c r="L414" s="52">
        <f t="shared" si="2"/>
        <v>220.9987835</v>
      </c>
      <c r="M414" s="52">
        <v>7.27</v>
      </c>
      <c r="N414" s="52">
        <v>63.13</v>
      </c>
      <c r="O414" s="52">
        <v>55.27</v>
      </c>
      <c r="P414" s="52">
        <v>3.13</v>
      </c>
      <c r="Q414" s="52">
        <v>0.3</v>
      </c>
      <c r="R414" s="52">
        <v>0.19</v>
      </c>
      <c r="S414" s="52">
        <f t="shared" si="3"/>
        <v>3.635</v>
      </c>
      <c r="T414" s="52">
        <f t="shared" si="4"/>
        <v>31.565</v>
      </c>
      <c r="U414" s="52">
        <f t="shared" si="5"/>
        <v>27.635</v>
      </c>
      <c r="V414" s="52">
        <f t="shared" si="6"/>
        <v>1.565</v>
      </c>
      <c r="W414" s="52">
        <f t="shared" si="7"/>
        <v>0.15</v>
      </c>
      <c r="X414" s="52">
        <f t="shared" si="8"/>
        <v>0.095</v>
      </c>
    </row>
    <row r="415" ht="15.0" customHeight="1">
      <c r="A415" s="51">
        <v>86.0</v>
      </c>
      <c r="B415" s="51" t="s">
        <v>259</v>
      </c>
      <c r="C415" s="51">
        <v>188.0</v>
      </c>
      <c r="D415" s="51" t="s">
        <v>16</v>
      </c>
      <c r="E415" s="51" t="s">
        <v>19</v>
      </c>
      <c r="F415" s="51" t="s">
        <v>299</v>
      </c>
      <c r="G415" s="51" t="s">
        <v>300</v>
      </c>
      <c r="H415" s="52">
        <v>34.741681212173866</v>
      </c>
      <c r="I415" s="52">
        <v>22.29292721483659</v>
      </c>
      <c r="J415" s="52">
        <v>87.78</v>
      </c>
      <c r="K415" s="52">
        <f t="shared" si="88"/>
        <v>11.82006246</v>
      </c>
      <c r="L415" s="52">
        <f t="shared" si="2"/>
        <v>35.46018738</v>
      </c>
      <c r="M415" s="52">
        <v>9.1</v>
      </c>
      <c r="N415" s="52">
        <v>86.03</v>
      </c>
      <c r="O415" s="52">
        <v>14.39</v>
      </c>
      <c r="P415" s="52">
        <v>4.18</v>
      </c>
      <c r="Q415" s="52">
        <v>0.03</v>
      </c>
      <c r="R415" s="52">
        <v>0.25</v>
      </c>
      <c r="S415" s="52">
        <f t="shared" si="3"/>
        <v>2.028656377</v>
      </c>
      <c r="T415" s="52">
        <f t="shared" si="4"/>
        <v>19.17860528</v>
      </c>
      <c r="U415" s="52">
        <f t="shared" si="5"/>
        <v>3.207952226</v>
      </c>
      <c r="V415" s="52">
        <f t="shared" si="6"/>
        <v>0.9318443576</v>
      </c>
      <c r="W415" s="52">
        <f t="shared" si="7"/>
        <v>0.006687878164</v>
      </c>
      <c r="X415" s="52">
        <f t="shared" si="8"/>
        <v>0.05573231804</v>
      </c>
    </row>
    <row r="416" ht="15.0" customHeight="1">
      <c r="A416" s="51">
        <v>86.0</v>
      </c>
      <c r="B416" s="51" t="s">
        <v>259</v>
      </c>
      <c r="C416" s="51">
        <v>208.0</v>
      </c>
      <c r="D416" s="51" t="s">
        <v>22</v>
      </c>
      <c r="E416" s="51" t="s">
        <v>23</v>
      </c>
      <c r="F416" s="51" t="s">
        <v>299</v>
      </c>
      <c r="G416" s="51" t="s">
        <v>300</v>
      </c>
      <c r="H416" s="52">
        <v>26.209808197947215</v>
      </c>
      <c r="I416" s="52">
        <v>26.69471620887997</v>
      </c>
      <c r="J416" s="52">
        <v>88.48</v>
      </c>
      <c r="K416" s="52">
        <f t="shared" si="88"/>
        <v>14.04198304</v>
      </c>
      <c r="L416" s="52">
        <f t="shared" si="2"/>
        <v>42.12594912</v>
      </c>
      <c r="M416" s="52">
        <v>48.76</v>
      </c>
      <c r="N416" s="52">
        <v>80.73</v>
      </c>
      <c r="O416" s="52">
        <v>15.37</v>
      </c>
      <c r="P416" s="52">
        <v>1.75</v>
      </c>
      <c r="Q416" s="52">
        <v>0.33</v>
      </c>
      <c r="R416" s="52">
        <v>0.57</v>
      </c>
      <c r="S416" s="52">
        <f t="shared" si="3"/>
        <v>13.01634362</v>
      </c>
      <c r="T416" s="52">
        <f t="shared" si="4"/>
        <v>21.5506444</v>
      </c>
      <c r="U416" s="52">
        <f t="shared" si="5"/>
        <v>4.102977881</v>
      </c>
      <c r="V416" s="52">
        <f t="shared" si="6"/>
        <v>0.4671575337</v>
      </c>
      <c r="W416" s="52">
        <f t="shared" si="7"/>
        <v>0.08809256349</v>
      </c>
      <c r="X416" s="52">
        <f t="shared" si="8"/>
        <v>0.1521598824</v>
      </c>
    </row>
    <row r="417" ht="15.0" customHeight="1">
      <c r="A417" s="51">
        <v>86.0</v>
      </c>
      <c r="B417" s="51" t="s">
        <v>259</v>
      </c>
      <c r="C417" s="51">
        <v>213.0</v>
      </c>
      <c r="D417" s="51" t="s">
        <v>24</v>
      </c>
      <c r="E417" s="51" t="s">
        <v>26</v>
      </c>
      <c r="F417" s="51" t="s">
        <v>299</v>
      </c>
      <c r="G417" s="51" t="s">
        <v>300</v>
      </c>
      <c r="H417" s="52">
        <v>1.1034688791068936</v>
      </c>
      <c r="I417" s="52">
        <v>1.0123565762834432</v>
      </c>
      <c r="J417" s="52">
        <v>99.89</v>
      </c>
      <c r="K417" s="52">
        <f t="shared" si="88"/>
        <v>0.4716933409</v>
      </c>
      <c r="L417" s="52">
        <f t="shared" si="2"/>
        <v>1.415080023</v>
      </c>
      <c r="M417" s="52">
        <v>0.0</v>
      </c>
      <c r="N417" s="52">
        <v>0.0</v>
      </c>
      <c r="O417" s="52">
        <v>0.0</v>
      </c>
      <c r="P417" s="52">
        <v>0.0</v>
      </c>
      <c r="Q417" s="52">
        <v>37.35</v>
      </c>
      <c r="R417" s="52">
        <v>0.01</v>
      </c>
      <c r="S417" s="52">
        <f t="shared" si="3"/>
        <v>0</v>
      </c>
      <c r="T417" s="52">
        <f t="shared" si="4"/>
        <v>0</v>
      </c>
      <c r="U417" s="52">
        <f t="shared" si="5"/>
        <v>0</v>
      </c>
      <c r="V417" s="52">
        <f t="shared" si="6"/>
        <v>0</v>
      </c>
      <c r="W417" s="52">
        <f t="shared" si="7"/>
        <v>0.3781151812</v>
      </c>
      <c r="X417" s="52">
        <f t="shared" si="8"/>
        <v>0.0001012356576</v>
      </c>
    </row>
    <row r="418" ht="15.0" customHeight="1">
      <c r="A418" s="51">
        <v>86.0</v>
      </c>
      <c r="B418" s="51" t="s">
        <v>266</v>
      </c>
      <c r="C418" s="51">
        <v>168.0</v>
      </c>
      <c r="D418" s="51" t="s">
        <v>18</v>
      </c>
      <c r="E418" s="51" t="s">
        <v>20</v>
      </c>
      <c r="F418" s="51" t="s">
        <v>314</v>
      </c>
      <c r="G418" s="51" t="s">
        <v>300</v>
      </c>
      <c r="H418" s="52">
        <v>37.94504171077204</v>
      </c>
      <c r="I418" s="52">
        <v>47.5</v>
      </c>
      <c r="J418" s="52">
        <v>31.59</v>
      </c>
      <c r="K418" s="52">
        <f t="shared" ref="K418:K421" si="89">IF(J418&gt;0,(I418/J418)/SUMPRODUCT($I$418:$I$421/$J$418:$J$421)*100,"")</f>
        <v>71.67338487</v>
      </c>
      <c r="L418" s="52">
        <f t="shared" si="2"/>
        <v>215.0201546</v>
      </c>
      <c r="M418" s="52">
        <v>7.27</v>
      </c>
      <c r="N418" s="52">
        <v>63.13</v>
      </c>
      <c r="O418" s="52">
        <v>55.27</v>
      </c>
      <c r="P418" s="52">
        <v>3.13</v>
      </c>
      <c r="Q418" s="52">
        <v>0.3</v>
      </c>
      <c r="R418" s="52">
        <v>0.19</v>
      </c>
      <c r="S418" s="52">
        <f t="shared" si="3"/>
        <v>3.45325</v>
      </c>
      <c r="T418" s="52">
        <f t="shared" si="4"/>
        <v>29.98675</v>
      </c>
      <c r="U418" s="52">
        <f t="shared" si="5"/>
        <v>26.25325</v>
      </c>
      <c r="V418" s="52">
        <f t="shared" si="6"/>
        <v>1.48675</v>
      </c>
      <c r="W418" s="52">
        <f t="shared" si="7"/>
        <v>0.1425</v>
      </c>
      <c r="X418" s="52">
        <f t="shared" si="8"/>
        <v>0.09025</v>
      </c>
    </row>
    <row r="419" ht="15.0" customHeight="1">
      <c r="A419" s="51">
        <v>86.0</v>
      </c>
      <c r="B419" s="51" t="s">
        <v>266</v>
      </c>
      <c r="C419" s="51">
        <v>188.0</v>
      </c>
      <c r="D419" s="51" t="s">
        <v>16</v>
      </c>
      <c r="E419" s="51" t="s">
        <v>19</v>
      </c>
      <c r="F419" s="51" t="s">
        <v>299</v>
      </c>
      <c r="G419" s="51" t="s">
        <v>300</v>
      </c>
      <c r="H419" s="52">
        <v>34.741681212173866</v>
      </c>
      <c r="I419" s="52">
        <v>24.884948868942242</v>
      </c>
      <c r="J419" s="52">
        <v>87.78</v>
      </c>
      <c r="K419" s="52">
        <f t="shared" si="89"/>
        <v>13.51310364</v>
      </c>
      <c r="L419" s="52">
        <f t="shared" si="2"/>
        <v>40.53931092</v>
      </c>
      <c r="M419" s="52">
        <v>9.1</v>
      </c>
      <c r="N419" s="52">
        <v>86.03</v>
      </c>
      <c r="O419" s="52">
        <v>14.39</v>
      </c>
      <c r="P419" s="52">
        <v>4.18</v>
      </c>
      <c r="Q419" s="52">
        <v>0.03</v>
      </c>
      <c r="R419" s="52">
        <v>0.25</v>
      </c>
      <c r="S419" s="52">
        <f t="shared" si="3"/>
        <v>2.264530347</v>
      </c>
      <c r="T419" s="52">
        <f t="shared" si="4"/>
        <v>21.40852151</v>
      </c>
      <c r="U419" s="52">
        <f t="shared" si="5"/>
        <v>3.580944142</v>
      </c>
      <c r="V419" s="52">
        <f t="shared" si="6"/>
        <v>1.040190863</v>
      </c>
      <c r="W419" s="52">
        <f t="shared" si="7"/>
        <v>0.007465484661</v>
      </c>
      <c r="X419" s="52">
        <f t="shared" si="8"/>
        <v>0.06221237217</v>
      </c>
    </row>
    <row r="420" ht="15.0" customHeight="1">
      <c r="A420" s="51">
        <v>86.0</v>
      </c>
      <c r="B420" s="51" t="s">
        <v>266</v>
      </c>
      <c r="C420" s="51">
        <v>208.0</v>
      </c>
      <c r="D420" s="51" t="s">
        <v>22</v>
      </c>
      <c r="E420" s="51" t="s">
        <v>23</v>
      </c>
      <c r="F420" s="51" t="s">
        <v>299</v>
      </c>
      <c r="G420" s="51" t="s">
        <v>300</v>
      </c>
      <c r="H420" s="52">
        <v>26.209808197947215</v>
      </c>
      <c r="I420" s="52">
        <v>26.583715448987387</v>
      </c>
      <c r="J420" s="52">
        <v>88.48</v>
      </c>
      <c r="K420" s="52">
        <f t="shared" si="89"/>
        <v>14.32136776</v>
      </c>
      <c r="L420" s="52">
        <f t="shared" si="2"/>
        <v>42.96410327</v>
      </c>
      <c r="M420" s="52">
        <v>48.76</v>
      </c>
      <c r="N420" s="52">
        <v>80.73</v>
      </c>
      <c r="O420" s="52">
        <v>15.37</v>
      </c>
      <c r="P420" s="52">
        <v>1.75</v>
      </c>
      <c r="Q420" s="52">
        <v>0.33</v>
      </c>
      <c r="R420" s="52">
        <v>0.57</v>
      </c>
      <c r="S420" s="52">
        <f t="shared" si="3"/>
        <v>12.96221965</v>
      </c>
      <c r="T420" s="52">
        <f t="shared" si="4"/>
        <v>21.46103348</v>
      </c>
      <c r="U420" s="52">
        <f t="shared" si="5"/>
        <v>4.085917065</v>
      </c>
      <c r="V420" s="52">
        <f t="shared" si="6"/>
        <v>0.4652150204</v>
      </c>
      <c r="W420" s="52">
        <f t="shared" si="7"/>
        <v>0.08772626098</v>
      </c>
      <c r="X420" s="52">
        <f t="shared" si="8"/>
        <v>0.1515271781</v>
      </c>
    </row>
    <row r="421" ht="15.0" customHeight="1">
      <c r="A421" s="51">
        <v>86.0</v>
      </c>
      <c r="B421" s="51" t="s">
        <v>266</v>
      </c>
      <c r="C421" s="51">
        <v>213.0</v>
      </c>
      <c r="D421" s="51" t="s">
        <v>24</v>
      </c>
      <c r="E421" s="51" t="s">
        <v>26</v>
      </c>
      <c r="F421" s="51" t="s">
        <v>299</v>
      </c>
      <c r="G421" s="51" t="s">
        <v>300</v>
      </c>
      <c r="H421" s="52">
        <v>1.1034688791068936</v>
      </c>
      <c r="I421" s="52">
        <v>1.0313356820703727</v>
      </c>
      <c r="J421" s="52">
        <v>99.89</v>
      </c>
      <c r="K421" s="52">
        <f t="shared" si="89"/>
        <v>0.4921437362</v>
      </c>
      <c r="L421" s="52">
        <f t="shared" si="2"/>
        <v>1.476431209</v>
      </c>
      <c r="M421" s="52">
        <v>0.0</v>
      </c>
      <c r="N421" s="52">
        <v>0.0</v>
      </c>
      <c r="O421" s="52">
        <v>0.0</v>
      </c>
      <c r="P421" s="52">
        <v>0.0</v>
      </c>
      <c r="Q421" s="52">
        <v>37.35</v>
      </c>
      <c r="R421" s="52">
        <v>0.01</v>
      </c>
      <c r="S421" s="52">
        <f t="shared" si="3"/>
        <v>0</v>
      </c>
      <c r="T421" s="52">
        <f t="shared" si="4"/>
        <v>0</v>
      </c>
      <c r="U421" s="52">
        <f t="shared" si="5"/>
        <v>0</v>
      </c>
      <c r="V421" s="52">
        <f t="shared" si="6"/>
        <v>0</v>
      </c>
      <c r="W421" s="52">
        <f t="shared" si="7"/>
        <v>0.3852038773</v>
      </c>
      <c r="X421" s="52">
        <f t="shared" si="8"/>
        <v>0.0001031335682</v>
      </c>
    </row>
    <row r="422" ht="15.0" customHeight="1">
      <c r="A422" s="51">
        <v>87.0</v>
      </c>
      <c r="B422" s="51" t="s">
        <v>259</v>
      </c>
      <c r="C422" s="51">
        <v>168.0</v>
      </c>
      <c r="D422" s="51" t="s">
        <v>18</v>
      </c>
      <c r="E422" s="51" t="s">
        <v>20</v>
      </c>
      <c r="F422" s="51" t="s">
        <v>314</v>
      </c>
      <c r="G422" s="51" t="s">
        <v>300</v>
      </c>
      <c r="H422" s="52">
        <v>38.28989852706787</v>
      </c>
      <c r="I422" s="52">
        <v>50.0</v>
      </c>
      <c r="J422" s="52">
        <v>31.59</v>
      </c>
      <c r="K422" s="52">
        <f t="shared" ref="K422:K426" si="90">IF(J422&gt;0,(I422/J422)/SUMPRODUCT($I$422:$I$426/$J$422:$J$426)*100,"")</f>
        <v>73.7112846</v>
      </c>
      <c r="L422" s="52">
        <f t="shared" si="2"/>
        <v>221.1338538</v>
      </c>
      <c r="M422" s="52">
        <v>7.27</v>
      </c>
      <c r="N422" s="52">
        <v>63.13</v>
      </c>
      <c r="O422" s="52">
        <v>55.27</v>
      </c>
      <c r="P422" s="52">
        <v>3.13</v>
      </c>
      <c r="Q422" s="52">
        <v>0.3</v>
      </c>
      <c r="R422" s="52">
        <v>0.19</v>
      </c>
      <c r="S422" s="52">
        <f t="shared" si="3"/>
        <v>3.635</v>
      </c>
      <c r="T422" s="52">
        <f t="shared" si="4"/>
        <v>31.565</v>
      </c>
      <c r="U422" s="52">
        <f t="shared" si="5"/>
        <v>27.635</v>
      </c>
      <c r="V422" s="52">
        <f t="shared" si="6"/>
        <v>1.565</v>
      </c>
      <c r="W422" s="52">
        <f t="shared" si="7"/>
        <v>0.15</v>
      </c>
      <c r="X422" s="52">
        <f t="shared" si="8"/>
        <v>0.095</v>
      </c>
    </row>
    <row r="423" ht="15.0" customHeight="1">
      <c r="A423" s="51">
        <v>87.0</v>
      </c>
      <c r="B423" s="51" t="s">
        <v>259</v>
      </c>
      <c r="C423" s="51">
        <v>188.0</v>
      </c>
      <c r="D423" s="51" t="s">
        <v>16</v>
      </c>
      <c r="E423" s="51" t="s">
        <v>19</v>
      </c>
      <c r="F423" s="51" t="s">
        <v>299</v>
      </c>
      <c r="G423" s="51" t="s">
        <v>300</v>
      </c>
      <c r="H423" s="52">
        <v>33.15595735776703</v>
      </c>
      <c r="I423" s="52">
        <v>21.06475389459163</v>
      </c>
      <c r="J423" s="52">
        <v>87.78</v>
      </c>
      <c r="K423" s="52">
        <f t="shared" si="90"/>
        <v>11.17569175</v>
      </c>
      <c r="L423" s="52">
        <f t="shared" si="2"/>
        <v>33.52707525</v>
      </c>
      <c r="M423" s="52">
        <v>9.1</v>
      </c>
      <c r="N423" s="52">
        <v>86.03</v>
      </c>
      <c r="O423" s="52">
        <v>14.39</v>
      </c>
      <c r="P423" s="52">
        <v>4.18</v>
      </c>
      <c r="Q423" s="52">
        <v>0.03</v>
      </c>
      <c r="R423" s="52">
        <v>0.25</v>
      </c>
      <c r="S423" s="52">
        <f t="shared" si="3"/>
        <v>1.916892604</v>
      </c>
      <c r="T423" s="52">
        <f t="shared" si="4"/>
        <v>18.12200778</v>
      </c>
      <c r="U423" s="52">
        <f t="shared" si="5"/>
        <v>3.031218085</v>
      </c>
      <c r="V423" s="52">
        <f t="shared" si="6"/>
        <v>0.8805067128</v>
      </c>
      <c r="W423" s="52">
        <f t="shared" si="7"/>
        <v>0.006319426168</v>
      </c>
      <c r="X423" s="52">
        <f t="shared" si="8"/>
        <v>0.05266188474</v>
      </c>
    </row>
    <row r="424" ht="15.0" customHeight="1">
      <c r="A424" s="51">
        <v>87.0</v>
      </c>
      <c r="B424" s="51" t="s">
        <v>259</v>
      </c>
      <c r="C424" s="51">
        <v>208.0</v>
      </c>
      <c r="D424" s="51" t="s">
        <v>22</v>
      </c>
      <c r="E424" s="51" t="s">
        <v>23</v>
      </c>
      <c r="F424" s="51" t="s">
        <v>299</v>
      </c>
      <c r="G424" s="51" t="s">
        <v>300</v>
      </c>
      <c r="H424" s="52">
        <v>26.454331947344883</v>
      </c>
      <c r="I424" s="52">
        <v>26.923928210812477</v>
      </c>
      <c r="J424" s="52">
        <v>88.48</v>
      </c>
      <c r="K424" s="52">
        <f t="shared" si="90"/>
        <v>14.17120927</v>
      </c>
      <c r="L424" s="52">
        <f t="shared" si="2"/>
        <v>42.51362781</v>
      </c>
      <c r="M424" s="52">
        <v>48.76</v>
      </c>
      <c r="N424" s="52">
        <v>80.73</v>
      </c>
      <c r="O424" s="52">
        <v>15.37</v>
      </c>
      <c r="P424" s="52">
        <v>1.75</v>
      </c>
      <c r="Q424" s="52">
        <v>0.33</v>
      </c>
      <c r="R424" s="52">
        <v>0.57</v>
      </c>
      <c r="S424" s="52">
        <f t="shared" si="3"/>
        <v>13.1281074</v>
      </c>
      <c r="T424" s="52">
        <f t="shared" si="4"/>
        <v>21.73568724</v>
      </c>
      <c r="U424" s="52">
        <f t="shared" si="5"/>
        <v>4.138207766</v>
      </c>
      <c r="V424" s="52">
        <f t="shared" si="6"/>
        <v>0.4711687437</v>
      </c>
      <c r="W424" s="52">
        <f t="shared" si="7"/>
        <v>0.0888489631</v>
      </c>
      <c r="X424" s="52">
        <f t="shared" si="8"/>
        <v>0.1534663908</v>
      </c>
    </row>
    <row r="425" ht="15.0" customHeight="1">
      <c r="A425" s="51">
        <v>87.0</v>
      </c>
      <c r="B425" s="51" t="s">
        <v>259</v>
      </c>
      <c r="C425" s="51">
        <v>213.0</v>
      </c>
      <c r="D425" s="51" t="s">
        <v>24</v>
      </c>
      <c r="E425" s="51" t="s">
        <v>26</v>
      </c>
      <c r="F425" s="51" t="s">
        <v>299</v>
      </c>
      <c r="G425" s="51" t="s">
        <v>300</v>
      </c>
      <c r="H425" s="52">
        <v>1.0998121678202137</v>
      </c>
      <c r="I425" s="52">
        <v>1.0113178945958916</v>
      </c>
      <c r="J425" s="52">
        <v>99.89</v>
      </c>
      <c r="K425" s="52">
        <f t="shared" si="90"/>
        <v>0.4714973761</v>
      </c>
      <c r="L425" s="52">
        <f t="shared" si="2"/>
        <v>1.414492128</v>
      </c>
      <c r="M425" s="52">
        <v>0.0</v>
      </c>
      <c r="N425" s="52">
        <v>0.0</v>
      </c>
      <c r="O425" s="52">
        <v>0.0</v>
      </c>
      <c r="P425" s="52">
        <v>0.0</v>
      </c>
      <c r="Q425" s="52">
        <v>37.35</v>
      </c>
      <c r="R425" s="52">
        <v>0.01</v>
      </c>
      <c r="S425" s="52">
        <f t="shared" si="3"/>
        <v>0</v>
      </c>
      <c r="T425" s="52">
        <f t="shared" si="4"/>
        <v>0</v>
      </c>
      <c r="U425" s="52">
        <f t="shared" si="5"/>
        <v>0</v>
      </c>
      <c r="V425" s="52">
        <f t="shared" si="6"/>
        <v>0</v>
      </c>
      <c r="W425" s="52">
        <f t="shared" si="7"/>
        <v>0.3777272336</v>
      </c>
      <c r="X425" s="52">
        <f t="shared" si="8"/>
        <v>0.0001011317895</v>
      </c>
    </row>
    <row r="426" ht="15.0" customHeight="1">
      <c r="A426" s="51">
        <v>87.0</v>
      </c>
      <c r="B426" s="51" t="s">
        <v>259</v>
      </c>
      <c r="C426" s="51">
        <v>224.0</v>
      </c>
      <c r="D426" s="51" t="s">
        <v>164</v>
      </c>
      <c r="E426" s="51" t="s">
        <v>165</v>
      </c>
      <c r="F426" s="51" t="s">
        <v>299</v>
      </c>
      <c r="G426" s="51" t="s">
        <v>316</v>
      </c>
      <c r="H426" s="52">
        <v>1.0</v>
      </c>
      <c r="I426" s="52">
        <v>1.0</v>
      </c>
      <c r="J426" s="52">
        <v>99.02</v>
      </c>
      <c r="K426" s="52">
        <f t="shared" si="90"/>
        <v>0.4703170027</v>
      </c>
      <c r="L426" s="52">
        <f t="shared" si="2"/>
        <v>1.410951008</v>
      </c>
      <c r="M426" s="52">
        <v>0.0</v>
      </c>
      <c r="N426" s="52">
        <v>0.0</v>
      </c>
      <c r="O426" s="52">
        <v>0.0</v>
      </c>
      <c r="P426" s="52">
        <v>0.0</v>
      </c>
      <c r="Q426" s="52">
        <v>0.0</v>
      </c>
      <c r="R426" s="52">
        <v>0.0</v>
      </c>
      <c r="S426" s="52">
        <f t="shared" si="3"/>
        <v>0</v>
      </c>
      <c r="T426" s="52">
        <f t="shared" si="4"/>
        <v>0</v>
      </c>
      <c r="U426" s="52">
        <f t="shared" si="5"/>
        <v>0</v>
      </c>
      <c r="V426" s="52">
        <f t="shared" si="6"/>
        <v>0</v>
      </c>
      <c r="W426" s="52">
        <f t="shared" si="7"/>
        <v>0</v>
      </c>
      <c r="X426" s="52">
        <f t="shared" si="8"/>
        <v>0</v>
      </c>
    </row>
    <row r="427" ht="15.0" customHeight="1">
      <c r="A427" s="51">
        <v>87.0</v>
      </c>
      <c r="B427" s="51" t="s">
        <v>266</v>
      </c>
      <c r="C427" s="51">
        <v>168.0</v>
      </c>
      <c r="D427" s="51" t="s">
        <v>18</v>
      </c>
      <c r="E427" s="51" t="s">
        <v>20</v>
      </c>
      <c r="F427" s="51" t="s">
        <v>314</v>
      </c>
      <c r="G427" s="51" t="s">
        <v>300</v>
      </c>
      <c r="H427" s="52">
        <v>38.28989852706787</v>
      </c>
      <c r="I427" s="52">
        <v>47.025</v>
      </c>
      <c r="J427" s="52">
        <v>31.59</v>
      </c>
      <c r="K427" s="52">
        <f t="shared" ref="K427:K431" si="91">IF(J427&gt;0,(I427/J427)/SUMPRODUCT($I$427:$I$431/$J$427:$J$431)*100,"")</f>
        <v>71.32863043</v>
      </c>
      <c r="L427" s="52">
        <f t="shared" si="2"/>
        <v>213.9858913</v>
      </c>
      <c r="M427" s="52">
        <v>7.27</v>
      </c>
      <c r="N427" s="52">
        <v>63.13</v>
      </c>
      <c r="O427" s="52">
        <v>55.27</v>
      </c>
      <c r="P427" s="52">
        <v>3.13</v>
      </c>
      <c r="Q427" s="52">
        <v>0.3</v>
      </c>
      <c r="R427" s="52">
        <v>0.19</v>
      </c>
      <c r="S427" s="52">
        <f t="shared" si="3"/>
        <v>3.4187175</v>
      </c>
      <c r="T427" s="52">
        <f t="shared" si="4"/>
        <v>29.6868825</v>
      </c>
      <c r="U427" s="52">
        <f t="shared" si="5"/>
        <v>25.9907175</v>
      </c>
      <c r="V427" s="52">
        <f t="shared" si="6"/>
        <v>1.4718825</v>
      </c>
      <c r="W427" s="52">
        <f t="shared" si="7"/>
        <v>0.141075</v>
      </c>
      <c r="X427" s="52">
        <f t="shared" si="8"/>
        <v>0.0893475</v>
      </c>
    </row>
    <row r="428" ht="15.0" customHeight="1">
      <c r="A428" s="51">
        <v>87.0</v>
      </c>
      <c r="B428" s="51" t="s">
        <v>266</v>
      </c>
      <c r="C428" s="51">
        <v>188.0</v>
      </c>
      <c r="D428" s="51" t="s">
        <v>16</v>
      </c>
      <c r="E428" s="51" t="s">
        <v>19</v>
      </c>
      <c r="F428" s="51" t="s">
        <v>299</v>
      </c>
      <c r="G428" s="51" t="s">
        <v>300</v>
      </c>
      <c r="H428" s="52">
        <v>33.15595735776703</v>
      </c>
      <c r="I428" s="52">
        <v>24.14925966297736</v>
      </c>
      <c r="J428" s="52">
        <v>87.78</v>
      </c>
      <c r="K428" s="52">
        <f t="shared" si="91"/>
        <v>13.18235344</v>
      </c>
      <c r="L428" s="52">
        <f t="shared" si="2"/>
        <v>39.54706033</v>
      </c>
      <c r="M428" s="52">
        <v>9.1</v>
      </c>
      <c r="N428" s="52">
        <v>86.03</v>
      </c>
      <c r="O428" s="52">
        <v>14.39</v>
      </c>
      <c r="P428" s="52">
        <v>4.18</v>
      </c>
      <c r="Q428" s="52">
        <v>0.03</v>
      </c>
      <c r="R428" s="52">
        <v>0.25</v>
      </c>
      <c r="S428" s="52">
        <f t="shared" si="3"/>
        <v>2.197582629</v>
      </c>
      <c r="T428" s="52">
        <f t="shared" si="4"/>
        <v>20.77560809</v>
      </c>
      <c r="U428" s="52">
        <f t="shared" si="5"/>
        <v>3.475078466</v>
      </c>
      <c r="V428" s="52">
        <f t="shared" si="6"/>
        <v>1.009439054</v>
      </c>
      <c r="W428" s="52">
        <f t="shared" si="7"/>
        <v>0.007244777899</v>
      </c>
      <c r="X428" s="52">
        <f t="shared" si="8"/>
        <v>0.06037314916</v>
      </c>
    </row>
    <row r="429" ht="15.0" customHeight="1">
      <c r="A429" s="51">
        <v>87.0</v>
      </c>
      <c r="B429" s="51" t="s">
        <v>266</v>
      </c>
      <c r="C429" s="51">
        <v>208.0</v>
      </c>
      <c r="D429" s="51" t="s">
        <v>22</v>
      </c>
      <c r="E429" s="51" t="s">
        <v>23</v>
      </c>
      <c r="F429" s="51" t="s">
        <v>299</v>
      </c>
      <c r="G429" s="51" t="s">
        <v>300</v>
      </c>
      <c r="H429" s="52">
        <v>26.454331947344883</v>
      </c>
      <c r="I429" s="52">
        <v>26.791837306540287</v>
      </c>
      <c r="J429" s="52">
        <v>88.48</v>
      </c>
      <c r="K429" s="52">
        <f t="shared" si="91"/>
        <v>14.509154</v>
      </c>
      <c r="L429" s="52">
        <f t="shared" si="2"/>
        <v>43.527462</v>
      </c>
      <c r="M429" s="52">
        <v>48.76</v>
      </c>
      <c r="N429" s="52">
        <v>80.73</v>
      </c>
      <c r="O429" s="52">
        <v>15.37</v>
      </c>
      <c r="P429" s="52">
        <v>1.75</v>
      </c>
      <c r="Q429" s="52">
        <v>0.33</v>
      </c>
      <c r="R429" s="52">
        <v>0.57</v>
      </c>
      <c r="S429" s="52">
        <f t="shared" si="3"/>
        <v>13.06369987</v>
      </c>
      <c r="T429" s="52">
        <f t="shared" si="4"/>
        <v>21.62905026</v>
      </c>
      <c r="U429" s="52">
        <f t="shared" si="5"/>
        <v>4.117905394</v>
      </c>
      <c r="V429" s="52">
        <f t="shared" si="6"/>
        <v>0.4688571529</v>
      </c>
      <c r="W429" s="52">
        <f t="shared" si="7"/>
        <v>0.08841306311</v>
      </c>
      <c r="X429" s="52">
        <f t="shared" si="8"/>
        <v>0.1527134726</v>
      </c>
    </row>
    <row r="430" ht="15.0" customHeight="1">
      <c r="A430" s="51">
        <v>87.0</v>
      </c>
      <c r="B430" s="51" t="s">
        <v>266</v>
      </c>
      <c r="C430" s="51">
        <v>213.0</v>
      </c>
      <c r="D430" s="51" t="s">
        <v>24</v>
      </c>
      <c r="E430" s="51" t="s">
        <v>26</v>
      </c>
      <c r="F430" s="51" t="s">
        <v>299</v>
      </c>
      <c r="G430" s="51" t="s">
        <v>300</v>
      </c>
      <c r="H430" s="52">
        <v>1.0998121678202137</v>
      </c>
      <c r="I430" s="52">
        <v>1.0339030304823427</v>
      </c>
      <c r="J430" s="52">
        <v>99.89</v>
      </c>
      <c r="K430" s="52">
        <f t="shared" si="91"/>
        <v>0.4959552617</v>
      </c>
      <c r="L430" s="52">
        <f t="shared" si="2"/>
        <v>1.487865785</v>
      </c>
      <c r="M430" s="52">
        <v>0.0</v>
      </c>
      <c r="N430" s="52">
        <v>0.0</v>
      </c>
      <c r="O430" s="52">
        <v>0.0</v>
      </c>
      <c r="P430" s="52">
        <v>0.0</v>
      </c>
      <c r="Q430" s="52">
        <v>37.35</v>
      </c>
      <c r="R430" s="52">
        <v>0.01</v>
      </c>
      <c r="S430" s="52">
        <f t="shared" si="3"/>
        <v>0</v>
      </c>
      <c r="T430" s="52">
        <f t="shared" si="4"/>
        <v>0</v>
      </c>
      <c r="U430" s="52">
        <f t="shared" si="5"/>
        <v>0</v>
      </c>
      <c r="V430" s="52">
        <f t="shared" si="6"/>
        <v>0</v>
      </c>
      <c r="W430" s="52">
        <f t="shared" si="7"/>
        <v>0.3861627819</v>
      </c>
      <c r="X430" s="52">
        <f t="shared" si="8"/>
        <v>0.000103390303</v>
      </c>
    </row>
    <row r="431" ht="15.0" customHeight="1">
      <c r="A431" s="51">
        <v>87.0</v>
      </c>
      <c r="B431" s="51" t="s">
        <v>266</v>
      </c>
      <c r="C431" s="51">
        <v>224.0</v>
      </c>
      <c r="D431" s="51" t="s">
        <v>164</v>
      </c>
      <c r="E431" s="51" t="s">
        <v>165</v>
      </c>
      <c r="F431" s="51" t="s">
        <v>299</v>
      </c>
      <c r="G431" s="51" t="s">
        <v>316</v>
      </c>
      <c r="H431" s="52">
        <v>1.0</v>
      </c>
      <c r="I431" s="52">
        <v>1.0</v>
      </c>
      <c r="J431" s="52">
        <v>99.02</v>
      </c>
      <c r="K431" s="52">
        <f t="shared" si="91"/>
        <v>0.4839068668</v>
      </c>
      <c r="L431" s="52">
        <f t="shared" si="2"/>
        <v>1.4517206</v>
      </c>
      <c r="M431" s="52">
        <v>0.0</v>
      </c>
      <c r="N431" s="52">
        <v>0.0</v>
      </c>
      <c r="O431" s="52">
        <v>0.0</v>
      </c>
      <c r="P431" s="52">
        <v>0.0</v>
      </c>
      <c r="Q431" s="52">
        <v>0.0</v>
      </c>
      <c r="R431" s="52">
        <v>0.0</v>
      </c>
      <c r="S431" s="52">
        <f t="shared" si="3"/>
        <v>0</v>
      </c>
      <c r="T431" s="52">
        <f t="shared" si="4"/>
        <v>0</v>
      </c>
      <c r="U431" s="52">
        <f t="shared" si="5"/>
        <v>0</v>
      </c>
      <c r="V431" s="52">
        <f t="shared" si="6"/>
        <v>0</v>
      </c>
      <c r="W431" s="52">
        <f t="shared" si="7"/>
        <v>0</v>
      </c>
      <c r="X431" s="52">
        <f t="shared" si="8"/>
        <v>0</v>
      </c>
    </row>
    <row r="432" ht="15.0" customHeight="1">
      <c r="A432" s="51">
        <v>88.0</v>
      </c>
      <c r="B432" s="51" t="s">
        <v>259</v>
      </c>
      <c r="C432" s="51">
        <v>168.0</v>
      </c>
      <c r="D432" s="51" t="s">
        <v>18</v>
      </c>
      <c r="E432" s="51" t="s">
        <v>20</v>
      </c>
      <c r="F432" s="51" t="s">
        <v>314</v>
      </c>
      <c r="G432" s="51" t="s">
        <v>300</v>
      </c>
      <c r="H432" s="52">
        <v>79.75434821249476</v>
      </c>
      <c r="I432" s="52">
        <v>50.0</v>
      </c>
      <c r="J432" s="52">
        <v>31.59</v>
      </c>
      <c r="K432" s="52">
        <f t="shared" ref="K432:K438" si="92">IF(J432&gt;0,(I432/J432)/SUMPRODUCT($I$432:$I$438/$J$432:$J$438)*100,"")</f>
        <v>73.84451582</v>
      </c>
      <c r="L432" s="52">
        <f t="shared" si="2"/>
        <v>221.5335474</v>
      </c>
      <c r="M432" s="52">
        <v>7.27</v>
      </c>
      <c r="N432" s="52">
        <v>63.13</v>
      </c>
      <c r="O432" s="52">
        <v>55.27</v>
      </c>
      <c r="P432" s="52">
        <v>3.13</v>
      </c>
      <c r="Q432" s="52">
        <v>0.3</v>
      </c>
      <c r="R432" s="52">
        <v>0.19</v>
      </c>
      <c r="S432" s="52">
        <f t="shared" si="3"/>
        <v>3.635</v>
      </c>
      <c r="T432" s="52">
        <f t="shared" si="4"/>
        <v>31.565</v>
      </c>
      <c r="U432" s="52">
        <f t="shared" si="5"/>
        <v>27.635</v>
      </c>
      <c r="V432" s="52">
        <f t="shared" si="6"/>
        <v>1.565</v>
      </c>
      <c r="W432" s="52">
        <f t="shared" si="7"/>
        <v>0.15</v>
      </c>
      <c r="X432" s="52">
        <f t="shared" si="8"/>
        <v>0.095</v>
      </c>
    </row>
    <row r="433" ht="15.0" customHeight="1">
      <c r="A433" s="51">
        <v>88.0</v>
      </c>
      <c r="B433" s="51" t="s">
        <v>259</v>
      </c>
      <c r="C433" s="51">
        <v>188.0</v>
      </c>
      <c r="D433" s="51" t="s">
        <v>16</v>
      </c>
      <c r="E433" s="51" t="s">
        <v>19</v>
      </c>
      <c r="F433" s="51" t="s">
        <v>299</v>
      </c>
      <c r="G433" s="51" t="s">
        <v>300</v>
      </c>
      <c r="H433" s="52">
        <v>0.0</v>
      </c>
      <c r="I433" s="52">
        <v>13.262088471180913</v>
      </c>
      <c r="J433" s="52">
        <v>87.78</v>
      </c>
      <c r="K433" s="52">
        <f t="shared" si="92"/>
        <v>7.048784173</v>
      </c>
      <c r="L433" s="52">
        <f t="shared" si="2"/>
        <v>21.14635252</v>
      </c>
      <c r="M433" s="52">
        <v>9.1</v>
      </c>
      <c r="N433" s="52">
        <v>86.03</v>
      </c>
      <c r="O433" s="52">
        <v>14.39</v>
      </c>
      <c r="P433" s="52">
        <v>4.18</v>
      </c>
      <c r="Q433" s="52">
        <v>0.03</v>
      </c>
      <c r="R433" s="52">
        <v>0.25</v>
      </c>
      <c r="S433" s="52">
        <f t="shared" si="3"/>
        <v>1.206850051</v>
      </c>
      <c r="T433" s="52">
        <f t="shared" si="4"/>
        <v>11.40937471</v>
      </c>
      <c r="U433" s="52">
        <f t="shared" si="5"/>
        <v>1.908414531</v>
      </c>
      <c r="V433" s="52">
        <f t="shared" si="6"/>
        <v>0.5543552981</v>
      </c>
      <c r="W433" s="52">
        <f t="shared" si="7"/>
        <v>0.003978626541</v>
      </c>
      <c r="X433" s="52">
        <f t="shared" si="8"/>
        <v>0.03315522118</v>
      </c>
    </row>
    <row r="434" ht="15.0" customHeight="1">
      <c r="A434" s="51">
        <v>88.0</v>
      </c>
      <c r="B434" s="51" t="s">
        <v>259</v>
      </c>
      <c r="C434" s="51">
        <v>173.0</v>
      </c>
      <c r="D434" s="51" t="s">
        <v>16</v>
      </c>
      <c r="E434" s="51" t="s">
        <v>52</v>
      </c>
      <c r="F434" s="51" t="s">
        <v>299</v>
      </c>
      <c r="G434" s="51" t="s">
        <v>300</v>
      </c>
      <c r="H434" s="52">
        <v>0.0</v>
      </c>
      <c r="I434" s="52">
        <v>13.853434350245763</v>
      </c>
      <c r="J434" s="52">
        <v>90.57</v>
      </c>
      <c r="K434" s="52">
        <f t="shared" si="92"/>
        <v>7.136264724</v>
      </c>
      <c r="L434" s="52">
        <f t="shared" si="2"/>
        <v>21.40879417</v>
      </c>
      <c r="M434" s="52">
        <v>14.21</v>
      </c>
      <c r="N434" s="52">
        <v>75.24</v>
      </c>
      <c r="O434" s="52">
        <v>27.69</v>
      </c>
      <c r="P434" s="52">
        <v>5.13</v>
      </c>
      <c r="Q434" s="52">
        <v>0.13</v>
      </c>
      <c r="R434" s="52">
        <v>0.35</v>
      </c>
      <c r="S434" s="52">
        <f t="shared" si="3"/>
        <v>1.968573021</v>
      </c>
      <c r="T434" s="52">
        <f t="shared" si="4"/>
        <v>10.42332401</v>
      </c>
      <c r="U434" s="52">
        <f t="shared" si="5"/>
        <v>3.836015972</v>
      </c>
      <c r="V434" s="52">
        <f t="shared" si="6"/>
        <v>0.7106811822</v>
      </c>
      <c r="W434" s="52">
        <f t="shared" si="7"/>
        <v>0.01800946466</v>
      </c>
      <c r="X434" s="52">
        <f t="shared" si="8"/>
        <v>0.04848702023</v>
      </c>
    </row>
    <row r="435" ht="15.0" customHeight="1">
      <c r="A435" s="51">
        <v>88.0</v>
      </c>
      <c r="B435" s="51" t="s">
        <v>259</v>
      </c>
      <c r="C435" s="51">
        <v>192.0</v>
      </c>
      <c r="D435" s="51" t="s">
        <v>16</v>
      </c>
      <c r="E435" s="51" t="s">
        <v>17</v>
      </c>
      <c r="F435" s="51" t="s">
        <v>299</v>
      </c>
      <c r="G435" s="51" t="s">
        <v>300</v>
      </c>
      <c r="H435" s="52">
        <v>7.57578684235561</v>
      </c>
      <c r="I435" s="52">
        <v>14.079599770100087</v>
      </c>
      <c r="J435" s="52">
        <v>88.05</v>
      </c>
      <c r="K435" s="52">
        <f t="shared" si="92"/>
        <v>7.460343393</v>
      </c>
      <c r="L435" s="52">
        <f t="shared" si="2"/>
        <v>22.38103018</v>
      </c>
      <c r="M435" s="52">
        <v>17.12</v>
      </c>
      <c r="N435" s="52">
        <v>71.35</v>
      </c>
      <c r="O435" s="52">
        <v>43.96</v>
      </c>
      <c r="P435" s="52">
        <v>3.58</v>
      </c>
      <c r="Q435" s="52">
        <v>0.19</v>
      </c>
      <c r="R435" s="52">
        <v>0.95</v>
      </c>
      <c r="S435" s="52">
        <f t="shared" si="3"/>
        <v>2.410427481</v>
      </c>
      <c r="T435" s="52">
        <f t="shared" si="4"/>
        <v>10.04579444</v>
      </c>
      <c r="U435" s="52">
        <f t="shared" si="5"/>
        <v>6.189392059</v>
      </c>
      <c r="V435" s="52">
        <f t="shared" si="6"/>
        <v>0.5040496718</v>
      </c>
      <c r="W435" s="52">
        <f t="shared" si="7"/>
        <v>0.02675123956</v>
      </c>
      <c r="X435" s="52">
        <f t="shared" si="8"/>
        <v>0.1337561978</v>
      </c>
    </row>
    <row r="436" ht="15.0" customHeight="1">
      <c r="A436" s="51">
        <v>88.0</v>
      </c>
      <c r="B436" s="51" t="s">
        <v>259</v>
      </c>
      <c r="C436" s="51">
        <v>208.0</v>
      </c>
      <c r="D436" s="51" t="s">
        <v>22</v>
      </c>
      <c r="E436" s="51" t="s">
        <v>23</v>
      </c>
      <c r="F436" s="51" t="s">
        <v>299</v>
      </c>
      <c r="G436" s="51" t="s">
        <v>300</v>
      </c>
      <c r="H436" s="52">
        <v>10.903936928099869</v>
      </c>
      <c r="I436" s="52">
        <v>6.532520159683791</v>
      </c>
      <c r="J436" s="52">
        <v>88.48</v>
      </c>
      <c r="K436" s="52">
        <f t="shared" si="92"/>
        <v>3.444558092</v>
      </c>
      <c r="L436" s="52">
        <f t="shared" si="2"/>
        <v>10.33367428</v>
      </c>
      <c r="M436" s="52">
        <v>48.76</v>
      </c>
      <c r="N436" s="52">
        <v>80.73</v>
      </c>
      <c r="O436" s="52">
        <v>15.37</v>
      </c>
      <c r="P436" s="52">
        <v>1.75</v>
      </c>
      <c r="Q436" s="52">
        <v>0.33</v>
      </c>
      <c r="R436" s="52">
        <v>0.57</v>
      </c>
      <c r="S436" s="52">
        <f t="shared" si="3"/>
        <v>3.18525683</v>
      </c>
      <c r="T436" s="52">
        <f t="shared" si="4"/>
        <v>5.273703525</v>
      </c>
      <c r="U436" s="52">
        <f t="shared" si="5"/>
        <v>1.004048349</v>
      </c>
      <c r="V436" s="52">
        <f t="shared" si="6"/>
        <v>0.1143191028</v>
      </c>
      <c r="W436" s="52">
        <f t="shared" si="7"/>
        <v>0.02155731653</v>
      </c>
      <c r="X436" s="52">
        <f t="shared" si="8"/>
        <v>0.03723536491</v>
      </c>
    </row>
    <row r="437" ht="15.0" customHeight="1">
      <c r="A437" s="51">
        <v>88.0</v>
      </c>
      <c r="B437" s="51" t="s">
        <v>259</v>
      </c>
      <c r="C437" s="51">
        <v>213.0</v>
      </c>
      <c r="D437" s="51" t="s">
        <v>24</v>
      </c>
      <c r="E437" s="51" t="s">
        <v>26</v>
      </c>
      <c r="F437" s="51" t="s">
        <v>299</v>
      </c>
      <c r="G437" s="51" t="s">
        <v>300</v>
      </c>
      <c r="H437" s="52">
        <v>0.7659280170497601</v>
      </c>
      <c r="I437" s="52">
        <v>1.272357248789449</v>
      </c>
      <c r="J437" s="52">
        <v>99.89</v>
      </c>
      <c r="K437" s="52">
        <f t="shared" si="92"/>
        <v>0.594271529</v>
      </c>
      <c r="L437" s="52">
        <f t="shared" si="2"/>
        <v>1.782814587</v>
      </c>
      <c r="M437" s="52">
        <v>0.0</v>
      </c>
      <c r="N437" s="52">
        <v>0.0</v>
      </c>
      <c r="O437" s="52">
        <v>0.0</v>
      </c>
      <c r="P437" s="52">
        <v>0.0</v>
      </c>
      <c r="Q437" s="52">
        <v>37.35</v>
      </c>
      <c r="R437" s="52">
        <v>0.01</v>
      </c>
      <c r="S437" s="52">
        <f t="shared" si="3"/>
        <v>0</v>
      </c>
      <c r="T437" s="52">
        <f t="shared" si="4"/>
        <v>0</v>
      </c>
      <c r="U437" s="52">
        <f t="shared" si="5"/>
        <v>0</v>
      </c>
      <c r="V437" s="52">
        <f t="shared" si="6"/>
        <v>0</v>
      </c>
      <c r="W437" s="52">
        <f t="shared" si="7"/>
        <v>0.4752254324</v>
      </c>
      <c r="X437" s="52">
        <f t="shared" si="8"/>
        <v>0.0001272357249</v>
      </c>
    </row>
    <row r="438" ht="15.0" customHeight="1">
      <c r="A438" s="51">
        <v>88.0</v>
      </c>
      <c r="B438" s="51" t="s">
        <v>259</v>
      </c>
      <c r="C438" s="51">
        <v>227.0</v>
      </c>
      <c r="D438" s="51" t="s">
        <v>24</v>
      </c>
      <c r="E438" s="51" t="s">
        <v>70</v>
      </c>
      <c r="F438" s="51" t="s">
        <v>299</v>
      </c>
      <c r="G438" s="51" t="s">
        <v>300</v>
      </c>
      <c r="H438" s="52">
        <v>1.0</v>
      </c>
      <c r="I438" s="52">
        <v>1.0</v>
      </c>
      <c r="J438" s="52">
        <v>99.0</v>
      </c>
      <c r="K438" s="52">
        <f t="shared" si="92"/>
        <v>0.4712622737</v>
      </c>
      <c r="L438" s="52">
        <f t="shared" si="2"/>
        <v>1.413786821</v>
      </c>
      <c r="M438" s="52">
        <v>0.0</v>
      </c>
      <c r="N438" s="52">
        <v>0.0</v>
      </c>
      <c r="O438" s="52">
        <v>0.0</v>
      </c>
      <c r="P438" s="52">
        <v>0.0</v>
      </c>
      <c r="Q438" s="52">
        <v>0.0</v>
      </c>
      <c r="R438" s="52">
        <v>0.0</v>
      </c>
      <c r="S438" s="52">
        <f t="shared" si="3"/>
        <v>0</v>
      </c>
      <c r="T438" s="52">
        <f t="shared" si="4"/>
        <v>0</v>
      </c>
      <c r="U438" s="52">
        <f t="shared" si="5"/>
        <v>0</v>
      </c>
      <c r="V438" s="52">
        <f t="shared" si="6"/>
        <v>0</v>
      </c>
      <c r="W438" s="52">
        <f t="shared" si="7"/>
        <v>0</v>
      </c>
      <c r="X438" s="52">
        <f t="shared" si="8"/>
        <v>0</v>
      </c>
    </row>
    <row r="439" ht="15.0" customHeight="1">
      <c r="A439" s="51">
        <v>88.0</v>
      </c>
      <c r="B439" s="51" t="s">
        <v>266</v>
      </c>
      <c r="C439" s="51">
        <v>168.0</v>
      </c>
      <c r="D439" s="51" t="s">
        <v>18</v>
      </c>
      <c r="E439" s="51" t="s">
        <v>20</v>
      </c>
      <c r="F439" s="51" t="s">
        <v>314</v>
      </c>
      <c r="G439" s="51" t="s">
        <v>300</v>
      </c>
      <c r="H439" s="52">
        <v>79.75434821249476</v>
      </c>
      <c r="I439" s="52">
        <v>44.55</v>
      </c>
      <c r="J439" s="52">
        <v>31.59</v>
      </c>
      <c r="K439" s="52">
        <f t="shared" ref="K439:K445" si="93">IF(J439&gt;0,(I439/J439)/SUMPRODUCT($I$439:$I$445/$J$439:$J$445)*100,"")</f>
        <v>69.39899669</v>
      </c>
      <c r="L439" s="52">
        <f t="shared" si="2"/>
        <v>208.1969901</v>
      </c>
      <c r="M439" s="52">
        <v>7.27</v>
      </c>
      <c r="N439" s="52">
        <v>63.13</v>
      </c>
      <c r="O439" s="52">
        <v>55.27</v>
      </c>
      <c r="P439" s="52">
        <v>3.13</v>
      </c>
      <c r="Q439" s="52">
        <v>0.3</v>
      </c>
      <c r="R439" s="52">
        <v>0.19</v>
      </c>
      <c r="S439" s="52">
        <f t="shared" si="3"/>
        <v>3.238785</v>
      </c>
      <c r="T439" s="52">
        <f t="shared" si="4"/>
        <v>28.124415</v>
      </c>
      <c r="U439" s="52">
        <f t="shared" si="5"/>
        <v>24.622785</v>
      </c>
      <c r="V439" s="52">
        <f t="shared" si="6"/>
        <v>1.394415</v>
      </c>
      <c r="W439" s="52">
        <f t="shared" si="7"/>
        <v>0.13365</v>
      </c>
      <c r="X439" s="52">
        <f t="shared" si="8"/>
        <v>0.084645</v>
      </c>
    </row>
    <row r="440" ht="15.0" customHeight="1">
      <c r="A440" s="51">
        <v>88.0</v>
      </c>
      <c r="B440" s="51" t="s">
        <v>266</v>
      </c>
      <c r="C440" s="51">
        <v>188.0</v>
      </c>
      <c r="D440" s="51" t="s">
        <v>16</v>
      </c>
      <c r="E440" s="51" t="s">
        <v>19</v>
      </c>
      <c r="F440" s="51" t="s">
        <v>299</v>
      </c>
      <c r="G440" s="51" t="s">
        <v>300</v>
      </c>
      <c r="H440" s="52">
        <v>0.0</v>
      </c>
      <c r="I440" s="52">
        <v>15.530044150229259</v>
      </c>
      <c r="J440" s="52">
        <v>87.78</v>
      </c>
      <c r="K440" s="52">
        <f t="shared" si="93"/>
        <v>8.706271841</v>
      </c>
      <c r="L440" s="52">
        <f t="shared" si="2"/>
        <v>26.11881552</v>
      </c>
      <c r="M440" s="52">
        <v>9.1</v>
      </c>
      <c r="N440" s="52">
        <v>86.03</v>
      </c>
      <c r="O440" s="52">
        <v>14.39</v>
      </c>
      <c r="P440" s="52">
        <v>4.18</v>
      </c>
      <c r="Q440" s="52">
        <v>0.03</v>
      </c>
      <c r="R440" s="52">
        <v>0.25</v>
      </c>
      <c r="S440" s="52">
        <f t="shared" si="3"/>
        <v>1.413234018</v>
      </c>
      <c r="T440" s="52">
        <f t="shared" si="4"/>
        <v>13.36049698</v>
      </c>
      <c r="U440" s="52">
        <f t="shared" si="5"/>
        <v>2.234773353</v>
      </c>
      <c r="V440" s="52">
        <f t="shared" si="6"/>
        <v>0.6491558455</v>
      </c>
      <c r="W440" s="52">
        <f t="shared" si="7"/>
        <v>0.004659013245</v>
      </c>
      <c r="X440" s="52">
        <f t="shared" si="8"/>
        <v>0.03882511038</v>
      </c>
    </row>
    <row r="441" ht="15.0" customHeight="1">
      <c r="A441" s="51">
        <v>88.0</v>
      </c>
      <c r="B441" s="51" t="s">
        <v>266</v>
      </c>
      <c r="C441" s="51">
        <v>173.0</v>
      </c>
      <c r="D441" s="51" t="s">
        <v>16</v>
      </c>
      <c r="E441" s="51" t="s">
        <v>52</v>
      </c>
      <c r="F441" s="51" t="s">
        <v>299</v>
      </c>
      <c r="G441" s="51" t="s">
        <v>300</v>
      </c>
      <c r="H441" s="52">
        <v>0.0</v>
      </c>
      <c r="I441" s="52">
        <v>15.87779813283948</v>
      </c>
      <c r="J441" s="52">
        <v>90.57</v>
      </c>
      <c r="K441" s="52">
        <f t="shared" si="93"/>
        <v>8.627024229</v>
      </c>
      <c r="L441" s="52">
        <f t="shared" si="2"/>
        <v>25.88107269</v>
      </c>
      <c r="M441" s="52">
        <v>14.21</v>
      </c>
      <c r="N441" s="52">
        <v>75.24</v>
      </c>
      <c r="O441" s="52">
        <v>27.69</v>
      </c>
      <c r="P441" s="52">
        <v>5.13</v>
      </c>
      <c r="Q441" s="52">
        <v>0.13</v>
      </c>
      <c r="R441" s="52">
        <v>0.35</v>
      </c>
      <c r="S441" s="52">
        <f t="shared" si="3"/>
        <v>2.256235115</v>
      </c>
      <c r="T441" s="52">
        <f t="shared" si="4"/>
        <v>11.94645532</v>
      </c>
      <c r="U441" s="52">
        <f t="shared" si="5"/>
        <v>4.396562303</v>
      </c>
      <c r="V441" s="52">
        <f t="shared" si="6"/>
        <v>0.8145310442</v>
      </c>
      <c r="W441" s="52">
        <f t="shared" si="7"/>
        <v>0.02064113757</v>
      </c>
      <c r="X441" s="52">
        <f t="shared" si="8"/>
        <v>0.05557229346</v>
      </c>
    </row>
    <row r="442" ht="15.0" customHeight="1">
      <c r="A442" s="51">
        <v>88.0</v>
      </c>
      <c r="B442" s="51" t="s">
        <v>266</v>
      </c>
      <c r="C442" s="51">
        <v>192.0</v>
      </c>
      <c r="D442" s="51" t="s">
        <v>16</v>
      </c>
      <c r="E442" s="51" t="s">
        <v>17</v>
      </c>
      <c r="F442" s="51" t="s">
        <v>299</v>
      </c>
      <c r="G442" s="51" t="s">
        <v>300</v>
      </c>
      <c r="H442" s="52">
        <v>7.57578684235561</v>
      </c>
      <c r="I442" s="52">
        <v>15.993326461500931</v>
      </c>
      <c r="J442" s="52">
        <v>88.05</v>
      </c>
      <c r="K442" s="52">
        <f t="shared" si="93"/>
        <v>8.938498085</v>
      </c>
      <c r="L442" s="52">
        <f t="shared" si="2"/>
        <v>26.81549425</v>
      </c>
      <c r="M442" s="52">
        <v>17.12</v>
      </c>
      <c r="N442" s="52">
        <v>71.35</v>
      </c>
      <c r="O442" s="52">
        <v>43.96</v>
      </c>
      <c r="P442" s="52">
        <v>3.58</v>
      </c>
      <c r="Q442" s="52">
        <v>0.19</v>
      </c>
      <c r="R442" s="52">
        <v>0.95</v>
      </c>
      <c r="S442" s="52">
        <f t="shared" si="3"/>
        <v>2.73805749</v>
      </c>
      <c r="T442" s="52">
        <f t="shared" si="4"/>
        <v>11.41123843</v>
      </c>
      <c r="U442" s="52">
        <f t="shared" si="5"/>
        <v>7.030666312</v>
      </c>
      <c r="V442" s="52">
        <f t="shared" si="6"/>
        <v>0.5725610873</v>
      </c>
      <c r="W442" s="52">
        <f t="shared" si="7"/>
        <v>0.03038732028</v>
      </c>
      <c r="X442" s="52">
        <f t="shared" si="8"/>
        <v>0.1519366014</v>
      </c>
    </row>
    <row r="443" ht="15.0" customHeight="1">
      <c r="A443" s="51">
        <v>88.0</v>
      </c>
      <c r="B443" s="51" t="s">
        <v>266</v>
      </c>
      <c r="C443" s="51">
        <v>208.0</v>
      </c>
      <c r="D443" s="51" t="s">
        <v>22</v>
      </c>
      <c r="E443" s="51" t="s">
        <v>23</v>
      </c>
      <c r="F443" s="51" t="s">
        <v>299</v>
      </c>
      <c r="G443" s="51" t="s">
        <v>300</v>
      </c>
      <c r="H443" s="52">
        <v>10.903936928099869</v>
      </c>
      <c r="I443" s="52">
        <v>5.659958490553785</v>
      </c>
      <c r="J443" s="52">
        <v>88.48</v>
      </c>
      <c r="K443" s="52">
        <f t="shared" si="93"/>
        <v>3.147916773</v>
      </c>
      <c r="L443" s="52">
        <f t="shared" si="2"/>
        <v>9.443750318</v>
      </c>
      <c r="M443" s="52">
        <v>48.76</v>
      </c>
      <c r="N443" s="52">
        <v>80.73</v>
      </c>
      <c r="O443" s="52">
        <v>15.37</v>
      </c>
      <c r="P443" s="52">
        <v>1.75</v>
      </c>
      <c r="Q443" s="52">
        <v>0.33</v>
      </c>
      <c r="R443" s="52">
        <v>0.57</v>
      </c>
      <c r="S443" s="52">
        <f t="shared" si="3"/>
        <v>2.75979576</v>
      </c>
      <c r="T443" s="52">
        <f t="shared" si="4"/>
        <v>4.569284489</v>
      </c>
      <c r="U443" s="52">
        <f t="shared" si="5"/>
        <v>0.86993562</v>
      </c>
      <c r="V443" s="52">
        <f t="shared" si="6"/>
        <v>0.09904927358</v>
      </c>
      <c r="W443" s="52">
        <f t="shared" si="7"/>
        <v>0.01867786302</v>
      </c>
      <c r="X443" s="52">
        <f t="shared" si="8"/>
        <v>0.0322617634</v>
      </c>
    </row>
    <row r="444" ht="15.0" customHeight="1">
      <c r="A444" s="51">
        <v>88.0</v>
      </c>
      <c r="B444" s="51" t="s">
        <v>266</v>
      </c>
      <c r="C444" s="51">
        <v>213.0</v>
      </c>
      <c r="D444" s="51" t="s">
        <v>24</v>
      </c>
      <c r="E444" s="51" t="s">
        <v>26</v>
      </c>
      <c r="F444" s="51" t="s">
        <v>299</v>
      </c>
      <c r="G444" s="51" t="s">
        <v>300</v>
      </c>
      <c r="H444" s="52">
        <v>0.7659280170497601</v>
      </c>
      <c r="I444" s="52">
        <v>1.3888727648765435</v>
      </c>
      <c r="J444" s="52">
        <v>99.89</v>
      </c>
      <c r="K444" s="52">
        <f t="shared" si="93"/>
        <v>0.6842196744</v>
      </c>
      <c r="L444" s="52">
        <f t="shared" si="2"/>
        <v>2.052659023</v>
      </c>
      <c r="M444" s="52">
        <v>0.0</v>
      </c>
      <c r="N444" s="52">
        <v>0.0</v>
      </c>
      <c r="O444" s="52">
        <v>0.0</v>
      </c>
      <c r="P444" s="52">
        <v>0.0</v>
      </c>
      <c r="Q444" s="52">
        <v>37.35</v>
      </c>
      <c r="R444" s="52">
        <v>0.01</v>
      </c>
      <c r="S444" s="52">
        <f t="shared" si="3"/>
        <v>0</v>
      </c>
      <c r="T444" s="52">
        <f t="shared" si="4"/>
        <v>0</v>
      </c>
      <c r="U444" s="52">
        <f t="shared" si="5"/>
        <v>0</v>
      </c>
      <c r="V444" s="52">
        <f t="shared" si="6"/>
        <v>0</v>
      </c>
      <c r="W444" s="52">
        <f t="shared" si="7"/>
        <v>0.5187439777</v>
      </c>
      <c r="X444" s="52">
        <f t="shared" si="8"/>
        <v>0.0001388872765</v>
      </c>
    </row>
    <row r="445" ht="15.0" customHeight="1">
      <c r="A445" s="51">
        <v>88.0</v>
      </c>
      <c r="B445" s="51" t="s">
        <v>266</v>
      </c>
      <c r="C445" s="51">
        <v>227.0</v>
      </c>
      <c r="D445" s="51" t="s">
        <v>24</v>
      </c>
      <c r="E445" s="51" t="s">
        <v>70</v>
      </c>
      <c r="F445" s="51" t="s">
        <v>299</v>
      </c>
      <c r="G445" s="51" t="s">
        <v>300</v>
      </c>
      <c r="H445" s="52">
        <v>1.0</v>
      </c>
      <c r="I445" s="52">
        <v>1.0</v>
      </c>
      <c r="J445" s="52">
        <v>99.0</v>
      </c>
      <c r="K445" s="52">
        <f t="shared" si="93"/>
        <v>0.4970727036</v>
      </c>
      <c r="L445" s="52">
        <f t="shared" si="2"/>
        <v>1.491218111</v>
      </c>
      <c r="M445" s="52">
        <v>0.0</v>
      </c>
      <c r="N445" s="52">
        <v>0.0</v>
      </c>
      <c r="O445" s="52">
        <v>0.0</v>
      </c>
      <c r="P445" s="52">
        <v>0.0</v>
      </c>
      <c r="Q445" s="52">
        <v>0.0</v>
      </c>
      <c r="R445" s="52">
        <v>0.0</v>
      </c>
      <c r="S445" s="52">
        <f t="shared" si="3"/>
        <v>0</v>
      </c>
      <c r="T445" s="52">
        <f t="shared" si="4"/>
        <v>0</v>
      </c>
      <c r="U445" s="52">
        <f t="shared" si="5"/>
        <v>0</v>
      </c>
      <c r="V445" s="52">
        <f t="shared" si="6"/>
        <v>0</v>
      </c>
      <c r="W445" s="52">
        <f t="shared" si="7"/>
        <v>0</v>
      </c>
      <c r="X445" s="52">
        <f t="shared" si="8"/>
        <v>0</v>
      </c>
    </row>
    <row r="446" ht="15.0" customHeight="1">
      <c r="A446" s="51">
        <v>89.0</v>
      </c>
      <c r="B446" s="51" t="s">
        <v>259</v>
      </c>
      <c r="C446" s="51">
        <v>168.0</v>
      </c>
      <c r="D446" s="51" t="s">
        <v>18</v>
      </c>
      <c r="E446" s="51" t="s">
        <v>20</v>
      </c>
      <c r="F446" s="51" t="s">
        <v>314</v>
      </c>
      <c r="G446" s="51" t="s">
        <v>300</v>
      </c>
      <c r="H446" s="52">
        <v>37.94864438905352</v>
      </c>
      <c r="I446" s="52">
        <v>50.0</v>
      </c>
      <c r="J446" s="52">
        <v>31.59</v>
      </c>
      <c r="K446" s="52">
        <f t="shared" ref="K446:K450" si="94">IF(J446&gt;0,(I446/J446)/SUMPRODUCT($I$446:$I$450/$J$446:$J$450)*100,"")</f>
        <v>73.68970117</v>
      </c>
      <c r="L446" s="52">
        <f t="shared" si="2"/>
        <v>221.0691035</v>
      </c>
      <c r="M446" s="52">
        <v>7.27</v>
      </c>
      <c r="N446" s="52">
        <v>63.13</v>
      </c>
      <c r="O446" s="52">
        <v>55.27</v>
      </c>
      <c r="P446" s="52">
        <v>3.13</v>
      </c>
      <c r="Q446" s="52">
        <v>0.3</v>
      </c>
      <c r="R446" s="52">
        <v>0.19</v>
      </c>
      <c r="S446" s="52">
        <f t="shared" si="3"/>
        <v>3.635</v>
      </c>
      <c r="T446" s="52">
        <f t="shared" si="4"/>
        <v>31.565</v>
      </c>
      <c r="U446" s="52">
        <f t="shared" si="5"/>
        <v>27.635</v>
      </c>
      <c r="V446" s="52">
        <f t="shared" si="6"/>
        <v>1.565</v>
      </c>
      <c r="W446" s="52">
        <f t="shared" si="7"/>
        <v>0.15</v>
      </c>
      <c r="X446" s="52">
        <f t="shared" si="8"/>
        <v>0.095</v>
      </c>
    </row>
    <row r="447" ht="15.0" customHeight="1">
      <c r="A447" s="51">
        <v>89.0</v>
      </c>
      <c r="B447" s="51" t="s">
        <v>259</v>
      </c>
      <c r="C447" s="51">
        <v>188.0</v>
      </c>
      <c r="D447" s="51" t="s">
        <v>16</v>
      </c>
      <c r="E447" s="51" t="s">
        <v>19</v>
      </c>
      <c r="F447" s="51" t="s">
        <v>299</v>
      </c>
      <c r="G447" s="51" t="s">
        <v>300</v>
      </c>
      <c r="H447" s="52">
        <v>34.733682304750644</v>
      </c>
      <c r="I447" s="52">
        <v>28.051242834777472</v>
      </c>
      <c r="J447" s="52">
        <v>87.78</v>
      </c>
      <c r="K447" s="52">
        <f t="shared" si="94"/>
        <v>14.87794498</v>
      </c>
      <c r="L447" s="52">
        <f t="shared" si="2"/>
        <v>44.63383493</v>
      </c>
      <c r="M447" s="52">
        <v>9.1</v>
      </c>
      <c r="N447" s="52">
        <v>86.03</v>
      </c>
      <c r="O447" s="52">
        <v>14.39</v>
      </c>
      <c r="P447" s="52">
        <v>4.18</v>
      </c>
      <c r="Q447" s="52">
        <v>0.03</v>
      </c>
      <c r="R447" s="52">
        <v>0.25</v>
      </c>
      <c r="S447" s="52">
        <f t="shared" si="3"/>
        <v>2.552663098</v>
      </c>
      <c r="T447" s="52">
        <f t="shared" si="4"/>
        <v>24.13248421</v>
      </c>
      <c r="U447" s="52">
        <f t="shared" si="5"/>
        <v>4.036573844</v>
      </c>
      <c r="V447" s="52">
        <f t="shared" si="6"/>
        <v>1.17254195</v>
      </c>
      <c r="W447" s="52">
        <f t="shared" si="7"/>
        <v>0.00841537285</v>
      </c>
      <c r="X447" s="52">
        <f t="shared" si="8"/>
        <v>0.07012810709</v>
      </c>
    </row>
    <row r="448" ht="15.0" customHeight="1">
      <c r="A448" s="51">
        <v>89.0</v>
      </c>
      <c r="B448" s="51" t="s">
        <v>259</v>
      </c>
      <c r="C448" s="51">
        <v>208.0</v>
      </c>
      <c r="D448" s="51" t="s">
        <v>22</v>
      </c>
      <c r="E448" s="51" t="s">
        <v>23</v>
      </c>
      <c r="F448" s="51" t="s">
        <v>299</v>
      </c>
      <c r="G448" s="51" t="s">
        <v>300</v>
      </c>
      <c r="H448" s="52">
        <v>26.2043419812391</v>
      </c>
      <c r="I448" s="52">
        <v>19.871217368547754</v>
      </c>
      <c r="J448" s="52">
        <v>88.48</v>
      </c>
      <c r="K448" s="52">
        <f t="shared" si="94"/>
        <v>10.45600487</v>
      </c>
      <c r="L448" s="52">
        <f t="shared" si="2"/>
        <v>31.36801462</v>
      </c>
      <c r="M448" s="52">
        <v>48.76</v>
      </c>
      <c r="N448" s="52">
        <v>80.73</v>
      </c>
      <c r="O448" s="52">
        <v>15.37</v>
      </c>
      <c r="P448" s="52">
        <v>1.75</v>
      </c>
      <c r="Q448" s="52">
        <v>0.33</v>
      </c>
      <c r="R448" s="52">
        <v>0.57</v>
      </c>
      <c r="S448" s="52">
        <f t="shared" si="3"/>
        <v>9.689205589</v>
      </c>
      <c r="T448" s="52">
        <f t="shared" si="4"/>
        <v>16.04203378</v>
      </c>
      <c r="U448" s="52">
        <f t="shared" si="5"/>
        <v>3.05420611</v>
      </c>
      <c r="V448" s="52">
        <f t="shared" si="6"/>
        <v>0.3477463039</v>
      </c>
      <c r="W448" s="52">
        <f t="shared" si="7"/>
        <v>0.06557501732</v>
      </c>
      <c r="X448" s="52">
        <f t="shared" si="8"/>
        <v>0.113265939</v>
      </c>
    </row>
    <row r="449" ht="15.0" customHeight="1">
      <c r="A449" s="51">
        <v>89.0</v>
      </c>
      <c r="B449" s="51" t="s">
        <v>259</v>
      </c>
      <c r="C449" s="51">
        <v>211.0</v>
      </c>
      <c r="D449" s="51" t="s">
        <v>22</v>
      </c>
      <c r="E449" s="51" t="s">
        <v>25</v>
      </c>
      <c r="F449" s="51" t="s">
        <v>299</v>
      </c>
      <c r="G449" s="51" t="s">
        <v>300</v>
      </c>
      <c r="H449" s="52">
        <v>0.0</v>
      </c>
      <c r="I449" s="52">
        <v>1.0</v>
      </c>
      <c r="J449" s="52">
        <v>99.0</v>
      </c>
      <c r="K449" s="52">
        <f t="shared" si="94"/>
        <v>0.4702742747</v>
      </c>
      <c r="L449" s="52">
        <f t="shared" si="2"/>
        <v>1.410822824</v>
      </c>
      <c r="M449" s="52">
        <v>280.0</v>
      </c>
      <c r="N449" s="52">
        <v>0.0</v>
      </c>
      <c r="O449" s="52">
        <v>0.0</v>
      </c>
      <c r="P449" s="52">
        <v>0.0</v>
      </c>
      <c r="Q449" s="52">
        <v>0.0</v>
      </c>
      <c r="R449" s="52">
        <v>0.0</v>
      </c>
      <c r="S449" s="52">
        <f t="shared" si="3"/>
        <v>2.8</v>
      </c>
      <c r="T449" s="52">
        <f t="shared" si="4"/>
        <v>0</v>
      </c>
      <c r="U449" s="52">
        <f t="shared" si="5"/>
        <v>0</v>
      </c>
      <c r="V449" s="52">
        <f t="shared" si="6"/>
        <v>0</v>
      </c>
      <c r="W449" s="52">
        <f t="shared" si="7"/>
        <v>0</v>
      </c>
      <c r="X449" s="52">
        <f t="shared" si="8"/>
        <v>0</v>
      </c>
    </row>
    <row r="450" ht="15.0" customHeight="1">
      <c r="A450" s="51">
        <v>89.0</v>
      </c>
      <c r="B450" s="51" t="s">
        <v>259</v>
      </c>
      <c r="C450" s="51">
        <v>212.0</v>
      </c>
      <c r="D450" s="51" t="s">
        <v>24</v>
      </c>
      <c r="E450" s="51" t="s">
        <v>195</v>
      </c>
      <c r="F450" s="51" t="s">
        <v>299</v>
      </c>
      <c r="G450" s="51" t="s">
        <v>300</v>
      </c>
      <c r="H450" s="52">
        <v>1.113331324956727</v>
      </c>
      <c r="I450" s="52">
        <v>1.0775397966747722</v>
      </c>
      <c r="J450" s="52">
        <v>99.13</v>
      </c>
      <c r="K450" s="52">
        <f t="shared" si="94"/>
        <v>0.5060747038</v>
      </c>
      <c r="L450" s="52">
        <f t="shared" si="2"/>
        <v>1.518224112</v>
      </c>
      <c r="M450" s="52">
        <v>0.0</v>
      </c>
      <c r="N450" s="52">
        <v>0.0</v>
      </c>
      <c r="O450" s="52">
        <v>0.0</v>
      </c>
      <c r="P450" s="52">
        <v>0.0</v>
      </c>
      <c r="Q450" s="52">
        <v>37.02</v>
      </c>
      <c r="R450" s="52">
        <v>0.03</v>
      </c>
      <c r="S450" s="52">
        <f t="shared" si="3"/>
        <v>0</v>
      </c>
      <c r="T450" s="52">
        <f t="shared" si="4"/>
        <v>0</v>
      </c>
      <c r="U450" s="52">
        <f t="shared" si="5"/>
        <v>0</v>
      </c>
      <c r="V450" s="52">
        <f t="shared" si="6"/>
        <v>0</v>
      </c>
      <c r="W450" s="52">
        <f t="shared" si="7"/>
        <v>0.3989052327</v>
      </c>
      <c r="X450" s="52">
        <f t="shared" si="8"/>
        <v>0.000323261939</v>
      </c>
    </row>
    <row r="451" ht="15.0" customHeight="1">
      <c r="A451" s="51">
        <v>89.0</v>
      </c>
      <c r="B451" s="51" t="s">
        <v>266</v>
      </c>
      <c r="C451" s="51">
        <v>168.0</v>
      </c>
      <c r="D451" s="51" t="s">
        <v>18</v>
      </c>
      <c r="E451" s="51" t="s">
        <v>20</v>
      </c>
      <c r="F451" s="51" t="s">
        <v>314</v>
      </c>
      <c r="G451" s="51" t="s">
        <v>300</v>
      </c>
      <c r="H451" s="52">
        <v>37.94864438905352</v>
      </c>
      <c r="I451" s="52">
        <v>47.5</v>
      </c>
      <c r="J451" s="52">
        <v>31.59</v>
      </c>
      <c r="K451" s="52">
        <f t="shared" ref="K451:K455" si="95">IF(J451&gt;0,(I451/J451)/SUMPRODUCT($I$451:$I$455/$J$451:$J$455)*100,"")</f>
        <v>71.69669968</v>
      </c>
      <c r="L451" s="52">
        <f t="shared" si="2"/>
        <v>215.090099</v>
      </c>
      <c r="M451" s="52">
        <v>7.27</v>
      </c>
      <c r="N451" s="52">
        <v>63.13</v>
      </c>
      <c r="O451" s="52">
        <v>55.27</v>
      </c>
      <c r="P451" s="52">
        <v>3.13</v>
      </c>
      <c r="Q451" s="52">
        <v>0.3</v>
      </c>
      <c r="R451" s="52">
        <v>0.19</v>
      </c>
      <c r="S451" s="52">
        <f t="shared" si="3"/>
        <v>3.45325</v>
      </c>
      <c r="T451" s="52">
        <f t="shared" si="4"/>
        <v>29.98675</v>
      </c>
      <c r="U451" s="52">
        <f t="shared" si="5"/>
        <v>26.25325</v>
      </c>
      <c r="V451" s="52">
        <f t="shared" si="6"/>
        <v>1.48675</v>
      </c>
      <c r="W451" s="52">
        <f t="shared" si="7"/>
        <v>0.1425</v>
      </c>
      <c r="X451" s="52">
        <f t="shared" si="8"/>
        <v>0.09025</v>
      </c>
    </row>
    <row r="452" ht="15.0" customHeight="1">
      <c r="A452" s="51">
        <v>89.0</v>
      </c>
      <c r="B452" s="51" t="s">
        <v>266</v>
      </c>
      <c r="C452" s="51">
        <v>188.0</v>
      </c>
      <c r="D452" s="51" t="s">
        <v>16</v>
      </c>
      <c r="E452" s="51" t="s">
        <v>19</v>
      </c>
      <c r="F452" s="51" t="s">
        <v>299</v>
      </c>
      <c r="G452" s="51" t="s">
        <v>300</v>
      </c>
      <c r="H452" s="52">
        <v>34.733682304750644</v>
      </c>
      <c r="I452" s="52">
        <v>30.643056706410544</v>
      </c>
      <c r="J452" s="52">
        <v>87.78</v>
      </c>
      <c r="K452" s="52">
        <f t="shared" si="95"/>
        <v>16.6453024</v>
      </c>
      <c r="L452" s="52">
        <f t="shared" si="2"/>
        <v>49.93590719</v>
      </c>
      <c r="M452" s="52">
        <v>9.1</v>
      </c>
      <c r="N452" s="52">
        <v>86.03</v>
      </c>
      <c r="O452" s="52">
        <v>14.39</v>
      </c>
      <c r="P452" s="52">
        <v>4.18</v>
      </c>
      <c r="Q452" s="52">
        <v>0.03</v>
      </c>
      <c r="R452" s="52">
        <v>0.25</v>
      </c>
      <c r="S452" s="52">
        <f t="shared" si="3"/>
        <v>2.78851816</v>
      </c>
      <c r="T452" s="52">
        <f t="shared" si="4"/>
        <v>26.36222168</v>
      </c>
      <c r="U452" s="52">
        <f t="shared" si="5"/>
        <v>4.40953586</v>
      </c>
      <c r="V452" s="52">
        <f t="shared" si="6"/>
        <v>1.28087977</v>
      </c>
      <c r="W452" s="52">
        <f t="shared" si="7"/>
        <v>0.009192917012</v>
      </c>
      <c r="X452" s="52">
        <f t="shared" si="8"/>
        <v>0.07660764177</v>
      </c>
    </row>
    <row r="453" ht="15.0" customHeight="1">
      <c r="A453" s="51">
        <v>89.0</v>
      </c>
      <c r="B453" s="51" t="s">
        <v>266</v>
      </c>
      <c r="C453" s="51">
        <v>208.0</v>
      </c>
      <c r="D453" s="51" t="s">
        <v>22</v>
      </c>
      <c r="E453" s="51" t="s">
        <v>23</v>
      </c>
      <c r="F453" s="51" t="s">
        <v>299</v>
      </c>
      <c r="G453" s="51" t="s">
        <v>300</v>
      </c>
      <c r="H453" s="52">
        <v>26.2043419812391</v>
      </c>
      <c r="I453" s="52">
        <v>19.76025538676237</v>
      </c>
      <c r="J453" s="52">
        <v>88.48</v>
      </c>
      <c r="K453" s="52">
        <f t="shared" si="95"/>
        <v>10.64884781</v>
      </c>
      <c r="L453" s="52">
        <f t="shared" si="2"/>
        <v>31.94654343</v>
      </c>
      <c r="M453" s="52">
        <v>48.76</v>
      </c>
      <c r="N453" s="52">
        <v>80.73</v>
      </c>
      <c r="O453" s="52">
        <v>15.37</v>
      </c>
      <c r="P453" s="52">
        <v>1.75</v>
      </c>
      <c r="Q453" s="52">
        <v>0.33</v>
      </c>
      <c r="R453" s="52">
        <v>0.57</v>
      </c>
      <c r="S453" s="52">
        <f t="shared" si="3"/>
        <v>9.635100527</v>
      </c>
      <c r="T453" s="52">
        <f t="shared" si="4"/>
        <v>15.95245417</v>
      </c>
      <c r="U453" s="52">
        <f t="shared" si="5"/>
        <v>3.037151253</v>
      </c>
      <c r="V453" s="52">
        <f t="shared" si="6"/>
        <v>0.3458044693</v>
      </c>
      <c r="W453" s="52">
        <f t="shared" si="7"/>
        <v>0.06520884278</v>
      </c>
      <c r="X453" s="52">
        <f t="shared" si="8"/>
        <v>0.1126334557</v>
      </c>
    </row>
    <row r="454" ht="15.0" customHeight="1">
      <c r="A454" s="51">
        <v>89.0</v>
      </c>
      <c r="B454" s="51" t="s">
        <v>266</v>
      </c>
      <c r="C454" s="51">
        <v>211.0</v>
      </c>
      <c r="D454" s="51" t="s">
        <v>22</v>
      </c>
      <c r="E454" s="51" t="s">
        <v>25</v>
      </c>
      <c r="F454" s="51" t="s">
        <v>299</v>
      </c>
      <c r="G454" s="51" t="s">
        <v>300</v>
      </c>
      <c r="H454" s="52">
        <v>0.0</v>
      </c>
      <c r="I454" s="52">
        <v>1.0</v>
      </c>
      <c r="J454" s="52">
        <v>99.0</v>
      </c>
      <c r="K454" s="52">
        <f t="shared" si="95"/>
        <v>0.4816371596</v>
      </c>
      <c r="L454" s="52">
        <f t="shared" si="2"/>
        <v>1.444911479</v>
      </c>
      <c r="M454" s="52">
        <v>280.0</v>
      </c>
      <c r="N454" s="52">
        <v>0.0</v>
      </c>
      <c r="O454" s="52">
        <v>0.0</v>
      </c>
      <c r="P454" s="52">
        <v>0.0</v>
      </c>
      <c r="Q454" s="52">
        <v>0.0</v>
      </c>
      <c r="R454" s="52">
        <v>0.0</v>
      </c>
      <c r="S454" s="52">
        <f t="shared" si="3"/>
        <v>2.8</v>
      </c>
      <c r="T454" s="52">
        <f t="shared" si="4"/>
        <v>0</v>
      </c>
      <c r="U454" s="52">
        <f t="shared" si="5"/>
        <v>0</v>
      </c>
      <c r="V454" s="52">
        <f t="shared" si="6"/>
        <v>0</v>
      </c>
      <c r="W454" s="52">
        <f t="shared" si="7"/>
        <v>0</v>
      </c>
      <c r="X454" s="52">
        <f t="shared" si="8"/>
        <v>0</v>
      </c>
    </row>
    <row r="455" ht="15.0" customHeight="1">
      <c r="A455" s="51">
        <v>89.0</v>
      </c>
      <c r="B455" s="51" t="s">
        <v>266</v>
      </c>
      <c r="C455" s="51">
        <v>212.0</v>
      </c>
      <c r="D455" s="51" t="s">
        <v>24</v>
      </c>
      <c r="E455" s="51" t="s">
        <v>195</v>
      </c>
      <c r="F455" s="51" t="s">
        <v>299</v>
      </c>
      <c r="G455" s="51" t="s">
        <v>300</v>
      </c>
      <c r="H455" s="52">
        <v>1.113331324956727</v>
      </c>
      <c r="I455" s="52">
        <v>1.0966879068270847</v>
      </c>
      <c r="J455" s="52">
        <v>99.13</v>
      </c>
      <c r="K455" s="52">
        <f t="shared" si="95"/>
        <v>0.5275129546</v>
      </c>
      <c r="L455" s="52">
        <f t="shared" si="2"/>
        <v>1.582538864</v>
      </c>
      <c r="M455" s="52">
        <v>0.0</v>
      </c>
      <c r="N455" s="52">
        <v>0.0</v>
      </c>
      <c r="O455" s="52">
        <v>0.0</v>
      </c>
      <c r="P455" s="52">
        <v>0.0</v>
      </c>
      <c r="Q455" s="52">
        <v>37.02</v>
      </c>
      <c r="R455" s="52">
        <v>0.03</v>
      </c>
      <c r="S455" s="52">
        <f t="shared" si="3"/>
        <v>0</v>
      </c>
      <c r="T455" s="52">
        <f t="shared" si="4"/>
        <v>0</v>
      </c>
      <c r="U455" s="52">
        <f t="shared" si="5"/>
        <v>0</v>
      </c>
      <c r="V455" s="52">
        <f t="shared" si="6"/>
        <v>0</v>
      </c>
      <c r="W455" s="52">
        <f t="shared" si="7"/>
        <v>0.4059938631</v>
      </c>
      <c r="X455" s="52">
        <f t="shared" si="8"/>
        <v>0.000329006372</v>
      </c>
    </row>
    <row r="456" ht="15.0" customHeight="1">
      <c r="A456" s="51">
        <v>90.0</v>
      </c>
      <c r="B456" s="51" t="s">
        <v>61</v>
      </c>
      <c r="C456" s="51">
        <v>188.0</v>
      </c>
      <c r="D456" s="51" t="s">
        <v>16</v>
      </c>
      <c r="E456" s="51" t="s">
        <v>19</v>
      </c>
      <c r="F456" s="51" t="s">
        <v>299</v>
      </c>
      <c r="G456" s="51" t="s">
        <v>300</v>
      </c>
      <c r="H456" s="52">
        <v>78.67731420112044</v>
      </c>
      <c r="I456" s="52">
        <v>54.79953162154351</v>
      </c>
      <c r="J456" s="52">
        <v>87.78</v>
      </c>
      <c r="K456" s="52">
        <f t="shared" ref="K456:K460" si="96">IF(J456&gt;0,(I456/J456)/SUMPRODUCT($I$456:$I$460/$J$456:$J$460)*100,"")</f>
        <v>55.36966637</v>
      </c>
      <c r="L456" s="52">
        <f t="shared" si="2"/>
        <v>166.1089991</v>
      </c>
      <c r="M456" s="52">
        <v>9.1</v>
      </c>
      <c r="N456" s="52">
        <v>86.03</v>
      </c>
      <c r="O456" s="52">
        <v>14.39</v>
      </c>
      <c r="P456" s="52">
        <v>4.18</v>
      </c>
      <c r="Q456" s="52">
        <v>0.03</v>
      </c>
      <c r="R456" s="52">
        <v>0.25</v>
      </c>
      <c r="S456" s="52">
        <f t="shared" si="3"/>
        <v>4.986757378</v>
      </c>
      <c r="T456" s="52">
        <f t="shared" si="4"/>
        <v>47.14403705</v>
      </c>
      <c r="U456" s="52">
        <f t="shared" si="5"/>
        <v>7.8856526</v>
      </c>
      <c r="V456" s="52">
        <f t="shared" si="6"/>
        <v>2.290620422</v>
      </c>
      <c r="W456" s="52">
        <f t="shared" si="7"/>
        <v>0.01643985949</v>
      </c>
      <c r="X456" s="52">
        <f t="shared" si="8"/>
        <v>0.1369988291</v>
      </c>
    </row>
    <row r="457" ht="15.0" customHeight="1">
      <c r="A457" s="51">
        <v>90.0</v>
      </c>
      <c r="B457" s="51" t="s">
        <v>61</v>
      </c>
      <c r="C457" s="51">
        <v>172.0</v>
      </c>
      <c r="D457" s="51" t="s">
        <v>16</v>
      </c>
      <c r="E457" s="51" t="s">
        <v>34</v>
      </c>
      <c r="F457" s="51" t="s">
        <v>299</v>
      </c>
      <c r="G457" s="51" t="s">
        <v>300</v>
      </c>
      <c r="H457" s="52">
        <v>3.988282222963328</v>
      </c>
      <c r="I457" s="52">
        <v>28.381452830114352</v>
      </c>
      <c r="J457" s="52">
        <v>88.98</v>
      </c>
      <c r="K457" s="52">
        <f t="shared" si="96"/>
        <v>28.28999419</v>
      </c>
      <c r="L457" s="52">
        <f t="shared" si="2"/>
        <v>84.86998256</v>
      </c>
      <c r="M457" s="52">
        <v>13.73</v>
      </c>
      <c r="N457" s="52">
        <v>83.51</v>
      </c>
      <c r="O457" s="52">
        <v>24.43</v>
      </c>
      <c r="P457" s="52">
        <v>15.84</v>
      </c>
      <c r="Q457" s="52">
        <v>0.11</v>
      </c>
      <c r="R457" s="52">
        <v>1.72</v>
      </c>
      <c r="S457" s="52">
        <f t="shared" si="3"/>
        <v>3.896773474</v>
      </c>
      <c r="T457" s="52">
        <f t="shared" si="4"/>
        <v>23.70135126</v>
      </c>
      <c r="U457" s="52">
        <f t="shared" si="5"/>
        <v>6.933588926</v>
      </c>
      <c r="V457" s="52">
        <f t="shared" si="6"/>
        <v>4.495622128</v>
      </c>
      <c r="W457" s="52">
        <f t="shared" si="7"/>
        <v>0.03121959811</v>
      </c>
      <c r="X457" s="52">
        <f t="shared" si="8"/>
        <v>0.4881609887</v>
      </c>
    </row>
    <row r="458" ht="15.0" customHeight="1">
      <c r="A458" s="51">
        <v>90.0</v>
      </c>
      <c r="B458" s="51" t="s">
        <v>61</v>
      </c>
      <c r="C458" s="51">
        <v>208.0</v>
      </c>
      <c r="D458" s="51" t="s">
        <v>22</v>
      </c>
      <c r="E458" s="51" t="s">
        <v>23</v>
      </c>
      <c r="F458" s="51" t="s">
        <v>299</v>
      </c>
      <c r="G458" s="51" t="s">
        <v>300</v>
      </c>
      <c r="H458" s="52">
        <v>14.62714807267207</v>
      </c>
      <c r="I458" s="52">
        <v>12.214711424558173</v>
      </c>
      <c r="J458" s="52">
        <v>88.48</v>
      </c>
      <c r="K458" s="52">
        <f t="shared" si="96"/>
        <v>12.24415261</v>
      </c>
      <c r="L458" s="52">
        <f t="shared" si="2"/>
        <v>36.73245782</v>
      </c>
      <c r="M458" s="52">
        <v>48.76</v>
      </c>
      <c r="N458" s="52">
        <v>80.73</v>
      </c>
      <c r="O458" s="52">
        <v>15.37</v>
      </c>
      <c r="P458" s="52">
        <v>1.75</v>
      </c>
      <c r="Q458" s="52">
        <v>0.33</v>
      </c>
      <c r="R458" s="52">
        <v>0.57</v>
      </c>
      <c r="S458" s="52">
        <f t="shared" si="3"/>
        <v>5.955893291</v>
      </c>
      <c r="T458" s="52">
        <f t="shared" si="4"/>
        <v>9.860936533</v>
      </c>
      <c r="U458" s="52">
        <f t="shared" si="5"/>
        <v>1.877401146</v>
      </c>
      <c r="V458" s="52">
        <f t="shared" si="6"/>
        <v>0.2137574499</v>
      </c>
      <c r="W458" s="52">
        <f t="shared" si="7"/>
        <v>0.0403085477</v>
      </c>
      <c r="X458" s="52">
        <f t="shared" si="8"/>
        <v>0.06962385512</v>
      </c>
    </row>
    <row r="459" ht="15.0" customHeight="1">
      <c r="A459" s="51">
        <v>90.0</v>
      </c>
      <c r="B459" s="51" t="s">
        <v>61</v>
      </c>
      <c r="C459" s="51">
        <v>213.0</v>
      </c>
      <c r="D459" s="51" t="s">
        <v>24</v>
      </c>
      <c r="E459" s="51" t="s">
        <v>26</v>
      </c>
      <c r="F459" s="51" t="s">
        <v>299</v>
      </c>
      <c r="G459" s="51" t="s">
        <v>300</v>
      </c>
      <c r="H459" s="52">
        <v>1.7072555032441654</v>
      </c>
      <c r="I459" s="52">
        <v>3.604304123783969</v>
      </c>
      <c r="J459" s="52">
        <v>99.89</v>
      </c>
      <c r="K459" s="52">
        <f t="shared" si="96"/>
        <v>3.200295289</v>
      </c>
      <c r="L459" s="52">
        <f t="shared" si="2"/>
        <v>9.600885867</v>
      </c>
      <c r="M459" s="52">
        <v>0.0</v>
      </c>
      <c r="N459" s="52">
        <v>0.0</v>
      </c>
      <c r="O459" s="52">
        <v>0.0</v>
      </c>
      <c r="P459" s="52">
        <v>0.0</v>
      </c>
      <c r="Q459" s="52">
        <v>37.35</v>
      </c>
      <c r="R459" s="52">
        <v>0.01</v>
      </c>
      <c r="S459" s="52">
        <f t="shared" si="3"/>
        <v>0</v>
      </c>
      <c r="T459" s="52">
        <f t="shared" si="4"/>
        <v>0</v>
      </c>
      <c r="U459" s="52">
        <f t="shared" si="5"/>
        <v>0</v>
      </c>
      <c r="V459" s="52">
        <f t="shared" si="6"/>
        <v>0</v>
      </c>
      <c r="W459" s="52">
        <f t="shared" si="7"/>
        <v>1.34620759</v>
      </c>
      <c r="X459" s="52">
        <f t="shared" si="8"/>
        <v>0.0003604304124</v>
      </c>
    </row>
    <row r="460" ht="15.0" customHeight="1">
      <c r="A460" s="51">
        <v>90.0</v>
      </c>
      <c r="B460" s="51" t="s">
        <v>61</v>
      </c>
      <c r="C460" s="51">
        <v>227.0</v>
      </c>
      <c r="D460" s="51" t="s">
        <v>24</v>
      </c>
      <c r="E460" s="51" t="s">
        <v>70</v>
      </c>
      <c r="F460" s="51" t="s">
        <v>299</v>
      </c>
      <c r="G460" s="51" t="s">
        <v>300</v>
      </c>
      <c r="H460" s="52">
        <v>1.0</v>
      </c>
      <c r="I460" s="52">
        <v>1.0</v>
      </c>
      <c r="J460" s="52">
        <v>99.0</v>
      </c>
      <c r="K460" s="52">
        <f t="shared" si="96"/>
        <v>0.8958915534</v>
      </c>
      <c r="L460" s="52">
        <f t="shared" si="2"/>
        <v>2.68767466</v>
      </c>
      <c r="M460" s="52">
        <v>0.0</v>
      </c>
      <c r="N460" s="52">
        <v>0.0</v>
      </c>
      <c r="O460" s="52">
        <v>0.0</v>
      </c>
      <c r="P460" s="52">
        <v>0.0</v>
      </c>
      <c r="Q460" s="52">
        <v>0.0</v>
      </c>
      <c r="R460" s="52">
        <v>0.0</v>
      </c>
      <c r="S460" s="52">
        <f t="shared" si="3"/>
        <v>0</v>
      </c>
      <c r="T460" s="52">
        <f t="shared" si="4"/>
        <v>0</v>
      </c>
      <c r="U460" s="52">
        <f t="shared" si="5"/>
        <v>0</v>
      </c>
      <c r="V460" s="52">
        <f t="shared" si="6"/>
        <v>0</v>
      </c>
      <c r="W460" s="52">
        <f t="shared" si="7"/>
        <v>0</v>
      </c>
      <c r="X460" s="52">
        <f t="shared" si="8"/>
        <v>0</v>
      </c>
    </row>
    <row r="461" ht="15.0" customHeight="1">
      <c r="A461" s="51">
        <v>91.0</v>
      </c>
      <c r="B461" s="51" t="s">
        <v>259</v>
      </c>
      <c r="C461" s="51">
        <v>168.0</v>
      </c>
      <c r="D461" s="51" t="s">
        <v>18</v>
      </c>
      <c r="E461" s="51" t="s">
        <v>20</v>
      </c>
      <c r="F461" s="51" t="s">
        <v>314</v>
      </c>
      <c r="G461" s="51" t="s">
        <v>300</v>
      </c>
      <c r="H461" s="52">
        <v>47.025</v>
      </c>
      <c r="I461" s="52">
        <v>50.0</v>
      </c>
      <c r="J461" s="52">
        <v>31.59</v>
      </c>
      <c r="K461" s="52">
        <f t="shared" ref="K461:K465" si="97">IF(J461&gt;0,(I461/J461)/SUMPRODUCT($I$461:$I$465/$J$461:$J$465)*100,"")</f>
        <v>73.74326802</v>
      </c>
      <c r="L461" s="52">
        <f t="shared" si="2"/>
        <v>221.2298041</v>
      </c>
      <c r="M461" s="52">
        <v>7.27</v>
      </c>
      <c r="N461" s="52">
        <v>63.13</v>
      </c>
      <c r="O461" s="52">
        <v>55.27</v>
      </c>
      <c r="P461" s="52">
        <v>3.13</v>
      </c>
      <c r="Q461" s="52">
        <v>0.3</v>
      </c>
      <c r="R461" s="52">
        <v>0.19</v>
      </c>
      <c r="S461" s="52">
        <f t="shared" si="3"/>
        <v>3.635</v>
      </c>
      <c r="T461" s="52">
        <f t="shared" si="4"/>
        <v>31.565</v>
      </c>
      <c r="U461" s="52">
        <f t="shared" si="5"/>
        <v>27.635</v>
      </c>
      <c r="V461" s="52">
        <f t="shared" si="6"/>
        <v>1.565</v>
      </c>
      <c r="W461" s="52">
        <f t="shared" si="7"/>
        <v>0.15</v>
      </c>
      <c r="X461" s="52">
        <f t="shared" si="8"/>
        <v>0.095</v>
      </c>
    </row>
    <row r="462" ht="15.0" customHeight="1">
      <c r="A462" s="51">
        <v>91.0</v>
      </c>
      <c r="B462" s="51" t="s">
        <v>259</v>
      </c>
      <c r="C462" s="51">
        <v>188.0</v>
      </c>
      <c r="D462" s="51" t="s">
        <v>16</v>
      </c>
      <c r="E462" s="51" t="s">
        <v>19</v>
      </c>
      <c r="F462" s="51" t="s">
        <v>299</v>
      </c>
      <c r="G462" s="51" t="s">
        <v>300</v>
      </c>
      <c r="H462" s="52">
        <v>23.210615705632055</v>
      </c>
      <c r="I462" s="52">
        <v>20.087745343479995</v>
      </c>
      <c r="J462" s="52">
        <v>87.78</v>
      </c>
      <c r="K462" s="52">
        <f t="shared" si="97"/>
        <v>10.661974</v>
      </c>
      <c r="L462" s="52">
        <f t="shared" si="2"/>
        <v>31.985922</v>
      </c>
      <c r="M462" s="52">
        <v>9.1</v>
      </c>
      <c r="N462" s="52">
        <v>86.03</v>
      </c>
      <c r="O462" s="52">
        <v>14.39</v>
      </c>
      <c r="P462" s="52">
        <v>4.18</v>
      </c>
      <c r="Q462" s="52">
        <v>0.03</v>
      </c>
      <c r="R462" s="52">
        <v>0.25</v>
      </c>
      <c r="S462" s="52">
        <f t="shared" si="3"/>
        <v>1.827984826</v>
      </c>
      <c r="T462" s="52">
        <f t="shared" si="4"/>
        <v>17.28148732</v>
      </c>
      <c r="U462" s="52">
        <f t="shared" si="5"/>
        <v>2.890626555</v>
      </c>
      <c r="V462" s="52">
        <f t="shared" si="6"/>
        <v>0.8396677554</v>
      </c>
      <c r="W462" s="52">
        <f t="shared" si="7"/>
        <v>0.006026323603</v>
      </c>
      <c r="X462" s="52">
        <f t="shared" si="8"/>
        <v>0.05021936336</v>
      </c>
    </row>
    <row r="463" ht="15.0" customHeight="1">
      <c r="A463" s="51">
        <v>91.0</v>
      </c>
      <c r="B463" s="51" t="s">
        <v>259</v>
      </c>
      <c r="C463" s="51">
        <v>208.0</v>
      </c>
      <c r="D463" s="51" t="s">
        <v>22</v>
      </c>
      <c r="E463" s="51" t="s">
        <v>23</v>
      </c>
      <c r="F463" s="51" t="s">
        <v>299</v>
      </c>
      <c r="G463" s="51" t="s">
        <v>300</v>
      </c>
      <c r="H463" s="52">
        <v>26.960593022264508</v>
      </c>
      <c r="I463" s="52">
        <v>27.140861075906503</v>
      </c>
      <c r="J463" s="52">
        <v>88.48</v>
      </c>
      <c r="K463" s="52">
        <f t="shared" si="97"/>
        <v>14.29158872</v>
      </c>
      <c r="L463" s="52">
        <f t="shared" si="2"/>
        <v>42.87476615</v>
      </c>
      <c r="M463" s="52">
        <v>48.76</v>
      </c>
      <c r="N463" s="52">
        <v>80.73</v>
      </c>
      <c r="O463" s="52">
        <v>15.37</v>
      </c>
      <c r="P463" s="52">
        <v>1.75</v>
      </c>
      <c r="Q463" s="52">
        <v>0.33</v>
      </c>
      <c r="R463" s="52">
        <v>0.57</v>
      </c>
      <c r="S463" s="52">
        <f t="shared" si="3"/>
        <v>13.23388386</v>
      </c>
      <c r="T463" s="52">
        <f t="shared" si="4"/>
        <v>21.91081715</v>
      </c>
      <c r="U463" s="52">
        <f t="shared" si="5"/>
        <v>4.171550347</v>
      </c>
      <c r="V463" s="52">
        <f t="shared" si="6"/>
        <v>0.4749650688</v>
      </c>
      <c r="W463" s="52">
        <f t="shared" si="7"/>
        <v>0.08956484155</v>
      </c>
      <c r="X463" s="52">
        <f t="shared" si="8"/>
        <v>0.1547029081</v>
      </c>
    </row>
    <row r="464" ht="15.0" customHeight="1">
      <c r="A464" s="51">
        <v>91.0</v>
      </c>
      <c r="B464" s="51" t="s">
        <v>259</v>
      </c>
      <c r="C464" s="51">
        <v>212.0</v>
      </c>
      <c r="D464" s="51" t="s">
        <v>24</v>
      </c>
      <c r="E464" s="51" t="s">
        <v>195</v>
      </c>
      <c r="F464" s="51" t="s">
        <v>299</v>
      </c>
      <c r="G464" s="51" t="s">
        <v>300</v>
      </c>
      <c r="H464" s="52">
        <v>1.8037912721034277</v>
      </c>
      <c r="I464" s="52">
        <v>1.7713935806135006</v>
      </c>
      <c r="J464" s="52">
        <v>99.13</v>
      </c>
      <c r="K464" s="52">
        <f t="shared" si="97"/>
        <v>0.8325531376</v>
      </c>
      <c r="L464" s="52">
        <f t="shared" si="2"/>
        <v>2.497659413</v>
      </c>
      <c r="M464" s="52">
        <v>0.0</v>
      </c>
      <c r="N464" s="52">
        <v>0.0</v>
      </c>
      <c r="O464" s="52">
        <v>0.0</v>
      </c>
      <c r="P464" s="52">
        <v>0.0</v>
      </c>
      <c r="Q464" s="52">
        <v>37.02</v>
      </c>
      <c r="R464" s="52">
        <v>0.03</v>
      </c>
      <c r="S464" s="52">
        <f t="shared" si="3"/>
        <v>0</v>
      </c>
      <c r="T464" s="52">
        <f t="shared" si="4"/>
        <v>0</v>
      </c>
      <c r="U464" s="52">
        <f t="shared" si="5"/>
        <v>0</v>
      </c>
      <c r="V464" s="52">
        <f t="shared" si="6"/>
        <v>0</v>
      </c>
      <c r="W464" s="52">
        <f t="shared" si="7"/>
        <v>0.6557699035</v>
      </c>
      <c r="X464" s="52">
        <f t="shared" si="8"/>
        <v>0.0005314180742</v>
      </c>
    </row>
    <row r="465" ht="15.0" customHeight="1">
      <c r="A465" s="51">
        <v>91.0</v>
      </c>
      <c r="B465" s="51" t="s">
        <v>259</v>
      </c>
      <c r="C465" s="51">
        <v>227.0</v>
      </c>
      <c r="D465" s="51" t="s">
        <v>24</v>
      </c>
      <c r="E465" s="51" t="s">
        <v>70</v>
      </c>
      <c r="F465" s="51" t="s">
        <v>299</v>
      </c>
      <c r="G465" s="51" t="s">
        <v>316</v>
      </c>
      <c r="H465" s="52">
        <v>1.0</v>
      </c>
      <c r="I465" s="52">
        <v>1.0</v>
      </c>
      <c r="J465" s="52">
        <v>99.0</v>
      </c>
      <c r="K465" s="52">
        <f t="shared" si="97"/>
        <v>0.4706161286</v>
      </c>
      <c r="L465" s="52">
        <f t="shared" si="2"/>
        <v>1.411848386</v>
      </c>
      <c r="M465" s="52">
        <v>0.0</v>
      </c>
      <c r="N465" s="52">
        <v>0.0</v>
      </c>
      <c r="O465" s="52">
        <v>0.0</v>
      </c>
      <c r="P465" s="52">
        <v>0.0</v>
      </c>
      <c r="Q465" s="52">
        <v>0.0</v>
      </c>
      <c r="R465" s="52">
        <v>0.0</v>
      </c>
      <c r="S465" s="52">
        <f t="shared" si="3"/>
        <v>0</v>
      </c>
      <c r="T465" s="52">
        <f t="shared" si="4"/>
        <v>0</v>
      </c>
      <c r="U465" s="52">
        <f t="shared" si="5"/>
        <v>0</v>
      </c>
      <c r="V465" s="52">
        <f t="shared" si="6"/>
        <v>0</v>
      </c>
      <c r="W465" s="52">
        <f t="shared" si="7"/>
        <v>0</v>
      </c>
      <c r="X465" s="52">
        <f t="shared" si="8"/>
        <v>0</v>
      </c>
    </row>
    <row r="466" ht="15.0" customHeight="1">
      <c r="A466" s="51">
        <v>91.0</v>
      </c>
      <c r="B466" s="51" t="s">
        <v>266</v>
      </c>
      <c r="C466" s="51">
        <v>168.0</v>
      </c>
      <c r="D466" s="51" t="s">
        <v>18</v>
      </c>
      <c r="E466" s="51" t="s">
        <v>20</v>
      </c>
      <c r="F466" s="51" t="s">
        <v>314</v>
      </c>
      <c r="G466" s="51" t="s">
        <v>300</v>
      </c>
      <c r="H466" s="52">
        <v>47.025</v>
      </c>
      <c r="I466" s="52">
        <v>39.6</v>
      </c>
      <c r="J466" s="52">
        <v>31.59</v>
      </c>
      <c r="K466" s="52">
        <f t="shared" ref="K466:K470" si="98">IF(J466&gt;0,(I466/J466)/SUMPRODUCT($I$466:$I$470/$J$466:$J$470)*100,"")</f>
        <v>64.76705524</v>
      </c>
      <c r="L466" s="52">
        <f t="shared" si="2"/>
        <v>194.3011657</v>
      </c>
      <c r="M466" s="52">
        <v>7.27</v>
      </c>
      <c r="N466" s="52">
        <v>63.13</v>
      </c>
      <c r="O466" s="52">
        <v>55.27</v>
      </c>
      <c r="P466" s="52">
        <v>3.13</v>
      </c>
      <c r="Q466" s="52">
        <v>0.3</v>
      </c>
      <c r="R466" s="52">
        <v>0.19</v>
      </c>
      <c r="S466" s="52">
        <f t="shared" si="3"/>
        <v>2.87892</v>
      </c>
      <c r="T466" s="52">
        <f t="shared" si="4"/>
        <v>24.99948</v>
      </c>
      <c r="U466" s="52">
        <f t="shared" si="5"/>
        <v>21.88692</v>
      </c>
      <c r="V466" s="52">
        <f t="shared" si="6"/>
        <v>1.23948</v>
      </c>
      <c r="W466" s="52">
        <f t="shared" si="7"/>
        <v>0.1188</v>
      </c>
      <c r="X466" s="52">
        <f t="shared" si="8"/>
        <v>0.07524</v>
      </c>
    </row>
    <row r="467" ht="15.0" customHeight="1">
      <c r="A467" s="51">
        <v>91.0</v>
      </c>
      <c r="B467" s="51" t="s">
        <v>266</v>
      </c>
      <c r="C467" s="51">
        <v>188.0</v>
      </c>
      <c r="D467" s="51" t="s">
        <v>16</v>
      </c>
      <c r="E467" s="51" t="s">
        <v>19</v>
      </c>
      <c r="F467" s="51" t="s">
        <v>299</v>
      </c>
      <c r="G467" s="51" t="s">
        <v>300</v>
      </c>
      <c r="H467" s="52">
        <v>23.210615705632055</v>
      </c>
      <c r="I467" s="52">
        <v>30.876086963589305</v>
      </c>
      <c r="J467" s="52">
        <v>87.78</v>
      </c>
      <c r="K467" s="52">
        <f t="shared" si="98"/>
        <v>18.1733617</v>
      </c>
      <c r="L467" s="52">
        <f t="shared" si="2"/>
        <v>54.52008511</v>
      </c>
      <c r="M467" s="52">
        <v>9.1</v>
      </c>
      <c r="N467" s="52">
        <v>86.03</v>
      </c>
      <c r="O467" s="52">
        <v>14.39</v>
      </c>
      <c r="P467" s="52">
        <v>4.18</v>
      </c>
      <c r="Q467" s="52">
        <v>0.03</v>
      </c>
      <c r="R467" s="52">
        <v>0.25</v>
      </c>
      <c r="S467" s="52">
        <f t="shared" si="3"/>
        <v>2.809723914</v>
      </c>
      <c r="T467" s="52">
        <f t="shared" si="4"/>
        <v>26.56269761</v>
      </c>
      <c r="U467" s="52">
        <f t="shared" si="5"/>
        <v>4.443068914</v>
      </c>
      <c r="V467" s="52">
        <f t="shared" si="6"/>
        <v>1.290620435</v>
      </c>
      <c r="W467" s="52">
        <f t="shared" si="7"/>
        <v>0.009262826089</v>
      </c>
      <c r="X467" s="52">
        <f t="shared" si="8"/>
        <v>0.07719021741</v>
      </c>
    </row>
    <row r="468" ht="15.0" customHeight="1">
      <c r="A468" s="51">
        <v>91.0</v>
      </c>
      <c r="B468" s="51" t="s">
        <v>266</v>
      </c>
      <c r="C468" s="51">
        <v>208.0</v>
      </c>
      <c r="D468" s="51" t="s">
        <v>22</v>
      </c>
      <c r="E468" s="51" t="s">
        <v>23</v>
      </c>
      <c r="F468" s="51" t="s">
        <v>299</v>
      </c>
      <c r="G468" s="51" t="s">
        <v>300</v>
      </c>
      <c r="H468" s="52">
        <v>26.960593022264508</v>
      </c>
      <c r="I468" s="52">
        <v>26.63704844276905</v>
      </c>
      <c r="J468" s="52">
        <v>88.48</v>
      </c>
      <c r="K468" s="52">
        <f t="shared" si="98"/>
        <v>15.55426802</v>
      </c>
      <c r="L468" s="52">
        <f t="shared" si="2"/>
        <v>46.66280405</v>
      </c>
      <c r="M468" s="52">
        <v>48.76</v>
      </c>
      <c r="N468" s="52">
        <v>80.73</v>
      </c>
      <c r="O468" s="52">
        <v>15.37</v>
      </c>
      <c r="P468" s="52">
        <v>1.75</v>
      </c>
      <c r="Q468" s="52">
        <v>0.33</v>
      </c>
      <c r="R468" s="52">
        <v>0.57</v>
      </c>
      <c r="S468" s="52">
        <f t="shared" si="3"/>
        <v>12.98822482</v>
      </c>
      <c r="T468" s="52">
        <f t="shared" si="4"/>
        <v>21.50408921</v>
      </c>
      <c r="U468" s="52">
        <f t="shared" si="5"/>
        <v>4.094114346</v>
      </c>
      <c r="V468" s="52">
        <f t="shared" si="6"/>
        <v>0.4661483477</v>
      </c>
      <c r="W468" s="52">
        <f t="shared" si="7"/>
        <v>0.08790225986</v>
      </c>
      <c r="X468" s="52">
        <f t="shared" si="8"/>
        <v>0.1518311761</v>
      </c>
    </row>
    <row r="469" ht="15.0" customHeight="1">
      <c r="A469" s="51">
        <v>91.0</v>
      </c>
      <c r="B469" s="51" t="s">
        <v>266</v>
      </c>
      <c r="C469" s="51">
        <v>212.0</v>
      </c>
      <c r="D469" s="51" t="s">
        <v>24</v>
      </c>
      <c r="E469" s="51" t="s">
        <v>195</v>
      </c>
      <c r="F469" s="51" t="s">
        <v>299</v>
      </c>
      <c r="G469" s="51" t="s">
        <v>300</v>
      </c>
      <c r="H469" s="52">
        <v>1.8037912721034277</v>
      </c>
      <c r="I469" s="52">
        <v>1.8868645936416468</v>
      </c>
      <c r="J469" s="52">
        <v>99.13</v>
      </c>
      <c r="K469" s="52">
        <f t="shared" si="98"/>
        <v>0.983431739</v>
      </c>
      <c r="L469" s="52">
        <f t="shared" si="2"/>
        <v>2.950295217</v>
      </c>
      <c r="M469" s="52">
        <v>0.0</v>
      </c>
      <c r="N469" s="52">
        <v>0.0</v>
      </c>
      <c r="O469" s="52">
        <v>0.0</v>
      </c>
      <c r="P469" s="52">
        <v>0.0</v>
      </c>
      <c r="Q469" s="52">
        <v>37.02</v>
      </c>
      <c r="R469" s="52">
        <v>0.03</v>
      </c>
      <c r="S469" s="52">
        <f t="shared" si="3"/>
        <v>0</v>
      </c>
      <c r="T469" s="52">
        <f t="shared" si="4"/>
        <v>0</v>
      </c>
      <c r="U469" s="52">
        <f t="shared" si="5"/>
        <v>0</v>
      </c>
      <c r="V469" s="52">
        <f t="shared" si="6"/>
        <v>0</v>
      </c>
      <c r="W469" s="52">
        <f t="shared" si="7"/>
        <v>0.6985172726</v>
      </c>
      <c r="X469" s="52">
        <f t="shared" si="8"/>
        <v>0.0005660593781</v>
      </c>
    </row>
    <row r="470" ht="15.0" customHeight="1">
      <c r="A470" s="51">
        <v>91.0</v>
      </c>
      <c r="B470" s="51" t="s">
        <v>266</v>
      </c>
      <c r="C470" s="51">
        <v>227.0</v>
      </c>
      <c r="D470" s="51" t="s">
        <v>24</v>
      </c>
      <c r="E470" s="51" t="s">
        <v>70</v>
      </c>
      <c r="F470" s="51" t="s">
        <v>299</v>
      </c>
      <c r="G470" s="51" t="s">
        <v>316</v>
      </c>
      <c r="H470" s="52">
        <v>1.0</v>
      </c>
      <c r="I470" s="52">
        <v>1.0</v>
      </c>
      <c r="J470" s="52">
        <v>99.0</v>
      </c>
      <c r="K470" s="52">
        <f t="shared" si="98"/>
        <v>0.5218832964</v>
      </c>
      <c r="L470" s="52">
        <f t="shared" si="2"/>
        <v>1.565649889</v>
      </c>
      <c r="M470" s="52">
        <v>0.0</v>
      </c>
      <c r="N470" s="52">
        <v>0.0</v>
      </c>
      <c r="O470" s="52">
        <v>0.0</v>
      </c>
      <c r="P470" s="52">
        <v>0.0</v>
      </c>
      <c r="Q470" s="52">
        <v>0.0</v>
      </c>
      <c r="R470" s="52">
        <v>0.0</v>
      </c>
      <c r="S470" s="52">
        <f t="shared" si="3"/>
        <v>0</v>
      </c>
      <c r="T470" s="52">
        <f t="shared" si="4"/>
        <v>0</v>
      </c>
      <c r="U470" s="52">
        <f t="shared" si="5"/>
        <v>0</v>
      </c>
      <c r="V470" s="52">
        <f t="shared" si="6"/>
        <v>0</v>
      </c>
      <c r="W470" s="52">
        <f t="shared" si="7"/>
        <v>0</v>
      </c>
      <c r="X470" s="52">
        <f t="shared" si="8"/>
        <v>0</v>
      </c>
    </row>
    <row r="471" ht="15.0" customHeight="1">
      <c r="A471" s="51">
        <v>92.0</v>
      </c>
      <c r="B471" s="51" t="s">
        <v>259</v>
      </c>
      <c r="C471" s="51">
        <v>228.0</v>
      </c>
      <c r="D471" s="51" t="s">
        <v>209</v>
      </c>
      <c r="E471" s="51" t="s">
        <v>210</v>
      </c>
      <c r="F471" s="51" t="s">
        <v>314</v>
      </c>
      <c r="G471" s="51" t="s">
        <v>300</v>
      </c>
      <c r="H471" s="52">
        <v>37.125</v>
      </c>
      <c r="I471" s="52">
        <v>50.0</v>
      </c>
      <c r="J471" s="52">
        <v>89.99</v>
      </c>
      <c r="K471" s="52">
        <f t="shared" ref="K471:K476" si="99">IF(J471&gt;0,(I471/J471)/SUMPRODUCT($I$471:$I$476/$J$471:$J$476)*100,"")</f>
        <v>49.60797991</v>
      </c>
      <c r="L471" s="52">
        <f t="shared" si="2"/>
        <v>148.8239397</v>
      </c>
      <c r="M471" s="52">
        <v>5.94</v>
      </c>
      <c r="N471" s="52">
        <v>55.58</v>
      </c>
      <c r="O471" s="52">
        <v>64.36</v>
      </c>
      <c r="P471" s="52">
        <v>1.87</v>
      </c>
      <c r="Q471" s="52">
        <v>0.44</v>
      </c>
      <c r="R471" s="52">
        <v>0.24</v>
      </c>
      <c r="S471" s="52">
        <f t="shared" si="3"/>
        <v>2.97</v>
      </c>
      <c r="T471" s="52">
        <f t="shared" si="4"/>
        <v>27.79</v>
      </c>
      <c r="U471" s="52">
        <f t="shared" si="5"/>
        <v>32.18</v>
      </c>
      <c r="V471" s="52">
        <f t="shared" si="6"/>
        <v>0.935</v>
      </c>
      <c r="W471" s="52">
        <f t="shared" si="7"/>
        <v>0.22</v>
      </c>
      <c r="X471" s="52">
        <f t="shared" si="8"/>
        <v>0.12</v>
      </c>
    </row>
    <row r="472" ht="15.0" customHeight="1">
      <c r="A472" s="51">
        <v>92.0</v>
      </c>
      <c r="B472" s="51" t="s">
        <v>259</v>
      </c>
      <c r="C472" s="51">
        <v>188.0</v>
      </c>
      <c r="D472" s="51" t="s">
        <v>16</v>
      </c>
      <c r="E472" s="51" t="s">
        <v>19</v>
      </c>
      <c r="F472" s="51" t="s">
        <v>299</v>
      </c>
      <c r="G472" s="51" t="s">
        <v>300</v>
      </c>
      <c r="H472" s="52">
        <v>33.24676549302285</v>
      </c>
      <c r="I472" s="52">
        <v>19.376347922185047</v>
      </c>
      <c r="J472" s="52">
        <v>87.78</v>
      </c>
      <c r="K472" s="52">
        <f t="shared" si="99"/>
        <v>19.70843491</v>
      </c>
      <c r="L472" s="52">
        <f t="shared" si="2"/>
        <v>59.12530474</v>
      </c>
      <c r="M472" s="52">
        <v>9.1</v>
      </c>
      <c r="N472" s="52">
        <v>86.03</v>
      </c>
      <c r="O472" s="52">
        <v>14.39</v>
      </c>
      <c r="P472" s="52">
        <v>4.18</v>
      </c>
      <c r="Q472" s="52">
        <v>0.03</v>
      </c>
      <c r="R472" s="52">
        <v>0.25</v>
      </c>
      <c r="S472" s="52">
        <f t="shared" si="3"/>
        <v>1.763247661</v>
      </c>
      <c r="T472" s="52">
        <f t="shared" si="4"/>
        <v>16.66947212</v>
      </c>
      <c r="U472" s="52">
        <f t="shared" si="5"/>
        <v>2.788256466</v>
      </c>
      <c r="V472" s="52">
        <f t="shared" si="6"/>
        <v>0.8099313431</v>
      </c>
      <c r="W472" s="52">
        <f t="shared" si="7"/>
        <v>0.005812904377</v>
      </c>
      <c r="X472" s="52">
        <f t="shared" si="8"/>
        <v>0.04844086981</v>
      </c>
    </row>
    <row r="473" ht="15.0" customHeight="1">
      <c r="A473" s="51">
        <v>92.0</v>
      </c>
      <c r="B473" s="51" t="s">
        <v>259</v>
      </c>
      <c r="C473" s="51">
        <v>208.0</v>
      </c>
      <c r="D473" s="51" t="s">
        <v>22</v>
      </c>
      <c r="E473" s="51" t="s">
        <v>23</v>
      </c>
      <c r="F473" s="51" t="s">
        <v>299</v>
      </c>
      <c r="G473" s="51" t="s">
        <v>300</v>
      </c>
      <c r="H473" s="52">
        <v>27.57626748770223</v>
      </c>
      <c r="I473" s="52">
        <v>28.59643360531142</v>
      </c>
      <c r="J473" s="52">
        <v>88.48</v>
      </c>
      <c r="K473" s="52">
        <f t="shared" si="99"/>
        <v>28.85642659</v>
      </c>
      <c r="L473" s="52">
        <f t="shared" si="2"/>
        <v>86.56927976</v>
      </c>
      <c r="M473" s="52">
        <v>48.76</v>
      </c>
      <c r="N473" s="52">
        <v>80.73</v>
      </c>
      <c r="O473" s="52">
        <v>15.37</v>
      </c>
      <c r="P473" s="52">
        <v>1.75</v>
      </c>
      <c r="Q473" s="52">
        <v>0.33</v>
      </c>
      <c r="R473" s="52">
        <v>0.57</v>
      </c>
      <c r="S473" s="52">
        <f t="shared" si="3"/>
        <v>13.94362103</v>
      </c>
      <c r="T473" s="52">
        <f t="shared" si="4"/>
        <v>23.08590085</v>
      </c>
      <c r="U473" s="52">
        <f t="shared" si="5"/>
        <v>4.395271845</v>
      </c>
      <c r="V473" s="52">
        <f t="shared" si="6"/>
        <v>0.5004375881</v>
      </c>
      <c r="W473" s="52">
        <f t="shared" si="7"/>
        <v>0.0943682309</v>
      </c>
      <c r="X473" s="52">
        <f t="shared" si="8"/>
        <v>0.1629996716</v>
      </c>
    </row>
    <row r="474" ht="15.0" customHeight="1">
      <c r="A474" s="51">
        <v>92.0</v>
      </c>
      <c r="B474" s="51" t="s">
        <v>259</v>
      </c>
      <c r="C474" s="51">
        <v>224.0</v>
      </c>
      <c r="D474" s="51" t="s">
        <v>164</v>
      </c>
      <c r="E474" s="51" t="s">
        <v>165</v>
      </c>
      <c r="F474" s="51" t="s">
        <v>299</v>
      </c>
      <c r="G474" s="51" t="s">
        <v>300</v>
      </c>
      <c r="H474" s="52">
        <v>0.1</v>
      </c>
      <c r="I474" s="52">
        <v>0.1</v>
      </c>
      <c r="J474" s="52">
        <v>99.02</v>
      </c>
      <c r="K474" s="52">
        <f t="shared" si="99"/>
        <v>0.09016808951</v>
      </c>
      <c r="L474" s="52">
        <f t="shared" si="2"/>
        <v>0.2705042685</v>
      </c>
      <c r="M474" s="52">
        <v>0.0</v>
      </c>
      <c r="N474" s="52">
        <v>0.0</v>
      </c>
      <c r="O474" s="52">
        <v>0.0</v>
      </c>
      <c r="P474" s="52">
        <v>0.0</v>
      </c>
      <c r="Q474" s="52">
        <v>0.0</v>
      </c>
      <c r="R474" s="52">
        <v>0.0</v>
      </c>
      <c r="S474" s="52">
        <f t="shared" si="3"/>
        <v>0</v>
      </c>
      <c r="T474" s="52">
        <f t="shared" si="4"/>
        <v>0</v>
      </c>
      <c r="U474" s="52">
        <f t="shared" si="5"/>
        <v>0</v>
      </c>
      <c r="V474" s="52">
        <f t="shared" si="6"/>
        <v>0</v>
      </c>
      <c r="W474" s="52">
        <f t="shared" si="7"/>
        <v>0</v>
      </c>
      <c r="X474" s="52">
        <f t="shared" si="8"/>
        <v>0</v>
      </c>
    </row>
    <row r="475" ht="15.0" customHeight="1">
      <c r="A475" s="51">
        <v>92.0</v>
      </c>
      <c r="B475" s="51" t="s">
        <v>259</v>
      </c>
      <c r="C475" s="51">
        <v>212.0</v>
      </c>
      <c r="D475" s="51" t="s">
        <v>24</v>
      </c>
      <c r="E475" s="51" t="s">
        <v>195</v>
      </c>
      <c r="F475" s="51" t="s">
        <v>299</v>
      </c>
      <c r="G475" s="51" t="s">
        <v>300</v>
      </c>
      <c r="H475" s="52">
        <v>0.9519670192749109</v>
      </c>
      <c r="I475" s="52">
        <v>0.9272184725035326</v>
      </c>
      <c r="J475" s="52">
        <v>99.13</v>
      </c>
      <c r="K475" s="52">
        <f t="shared" si="99"/>
        <v>0.8351274503</v>
      </c>
      <c r="L475" s="52">
        <f t="shared" si="2"/>
        <v>2.505382351</v>
      </c>
      <c r="M475" s="52">
        <v>0.0</v>
      </c>
      <c r="N475" s="52">
        <v>0.0</v>
      </c>
      <c r="O475" s="52">
        <v>0.0</v>
      </c>
      <c r="P475" s="52">
        <v>0.0</v>
      </c>
      <c r="Q475" s="52">
        <v>37.02</v>
      </c>
      <c r="R475" s="52">
        <v>0.03</v>
      </c>
      <c r="S475" s="52">
        <f t="shared" si="3"/>
        <v>0</v>
      </c>
      <c r="T475" s="52">
        <f t="shared" si="4"/>
        <v>0</v>
      </c>
      <c r="U475" s="52">
        <f t="shared" si="5"/>
        <v>0</v>
      </c>
      <c r="V475" s="52">
        <f t="shared" si="6"/>
        <v>0</v>
      </c>
      <c r="W475" s="52">
        <f t="shared" si="7"/>
        <v>0.3432562785</v>
      </c>
      <c r="X475" s="52">
        <f t="shared" si="8"/>
        <v>0.0002781655418</v>
      </c>
    </row>
    <row r="476" ht="15.0" customHeight="1">
      <c r="A476" s="51">
        <v>92.0</v>
      </c>
      <c r="B476" s="51" t="s">
        <v>259</v>
      </c>
      <c r="C476" s="51">
        <v>227.0</v>
      </c>
      <c r="D476" s="51" t="s">
        <v>24</v>
      </c>
      <c r="E476" s="51" t="s">
        <v>70</v>
      </c>
      <c r="F476" s="51" t="s">
        <v>299</v>
      </c>
      <c r="G476" s="51" t="s">
        <v>300</v>
      </c>
      <c r="H476" s="52">
        <v>1.0</v>
      </c>
      <c r="I476" s="52">
        <v>1.0</v>
      </c>
      <c r="J476" s="52">
        <v>99.0</v>
      </c>
      <c r="K476" s="52">
        <f t="shared" si="99"/>
        <v>0.9018630529</v>
      </c>
      <c r="L476" s="52">
        <f t="shared" si="2"/>
        <v>2.705589159</v>
      </c>
      <c r="M476" s="52">
        <v>0.0</v>
      </c>
      <c r="N476" s="52">
        <v>0.0</v>
      </c>
      <c r="O476" s="52">
        <v>0.0</v>
      </c>
      <c r="P476" s="52">
        <v>0.0</v>
      </c>
      <c r="Q476" s="52">
        <v>0.0</v>
      </c>
      <c r="R476" s="52">
        <v>0.0</v>
      </c>
      <c r="S476" s="52">
        <f t="shared" si="3"/>
        <v>0</v>
      </c>
      <c r="T476" s="52">
        <f t="shared" si="4"/>
        <v>0</v>
      </c>
      <c r="U476" s="52">
        <f t="shared" si="5"/>
        <v>0</v>
      </c>
      <c r="V476" s="52">
        <f t="shared" si="6"/>
        <v>0</v>
      </c>
      <c r="W476" s="52">
        <f t="shared" si="7"/>
        <v>0</v>
      </c>
      <c r="X476" s="52">
        <f t="shared" si="8"/>
        <v>0</v>
      </c>
    </row>
    <row r="477" ht="15.0" customHeight="1">
      <c r="A477" s="51">
        <v>92.0</v>
      </c>
      <c r="B477" s="51" t="s">
        <v>266</v>
      </c>
      <c r="C477" s="51">
        <v>228.0</v>
      </c>
      <c r="D477" s="51" t="s">
        <v>209</v>
      </c>
      <c r="E477" s="51" t="s">
        <v>210</v>
      </c>
      <c r="F477" s="51" t="s">
        <v>314</v>
      </c>
      <c r="G477" s="51" t="s">
        <v>300</v>
      </c>
      <c r="H477" s="52">
        <v>37.125</v>
      </c>
      <c r="I477" s="52">
        <v>37.125</v>
      </c>
      <c r="J477" s="52">
        <v>89.99</v>
      </c>
      <c r="K477" s="52">
        <f t="shared" ref="K477:K482" si="100">IF(J477&gt;0,(I477/J477)/SUMPRODUCT($I$477:$I$482/$J$477:$J$482)*100,"")</f>
        <v>36.7188366</v>
      </c>
      <c r="L477" s="52">
        <f t="shared" si="2"/>
        <v>110.1565098</v>
      </c>
      <c r="M477" s="52">
        <v>5.94</v>
      </c>
      <c r="N477" s="52">
        <v>55.58</v>
      </c>
      <c r="O477" s="52">
        <v>64.36</v>
      </c>
      <c r="P477" s="52">
        <v>1.87</v>
      </c>
      <c r="Q477" s="52">
        <v>0.44</v>
      </c>
      <c r="R477" s="52">
        <v>0.24</v>
      </c>
      <c r="S477" s="52">
        <f t="shared" si="3"/>
        <v>2.205225</v>
      </c>
      <c r="T477" s="52">
        <f t="shared" si="4"/>
        <v>20.634075</v>
      </c>
      <c r="U477" s="52">
        <f t="shared" si="5"/>
        <v>23.89365</v>
      </c>
      <c r="V477" s="52">
        <f t="shared" si="6"/>
        <v>0.6942375</v>
      </c>
      <c r="W477" s="52">
        <f t="shared" si="7"/>
        <v>0.16335</v>
      </c>
      <c r="X477" s="52">
        <f t="shared" si="8"/>
        <v>0.0891</v>
      </c>
    </row>
    <row r="478" ht="15.0" customHeight="1">
      <c r="A478" s="51">
        <v>92.0</v>
      </c>
      <c r="B478" s="51" t="s">
        <v>266</v>
      </c>
      <c r="C478" s="51">
        <v>188.0</v>
      </c>
      <c r="D478" s="51" t="s">
        <v>16</v>
      </c>
      <c r="E478" s="51" t="s">
        <v>19</v>
      </c>
      <c r="F478" s="51" t="s">
        <v>299</v>
      </c>
      <c r="G478" s="51" t="s">
        <v>300</v>
      </c>
      <c r="H478" s="52">
        <v>33.24676549302285</v>
      </c>
      <c r="I478" s="52">
        <v>33.10644591933611</v>
      </c>
      <c r="J478" s="52">
        <v>87.78</v>
      </c>
      <c r="K478" s="52">
        <f t="shared" si="100"/>
        <v>33.56863531</v>
      </c>
      <c r="L478" s="52">
        <f t="shared" si="2"/>
        <v>100.7059059</v>
      </c>
      <c r="M478" s="52">
        <v>9.1</v>
      </c>
      <c r="N478" s="52">
        <v>86.03</v>
      </c>
      <c r="O478" s="52">
        <v>14.39</v>
      </c>
      <c r="P478" s="52">
        <v>4.18</v>
      </c>
      <c r="Q478" s="52">
        <v>0.03</v>
      </c>
      <c r="R478" s="52">
        <v>0.25</v>
      </c>
      <c r="S478" s="52">
        <f t="shared" si="3"/>
        <v>3.012686579</v>
      </c>
      <c r="T478" s="52">
        <f t="shared" si="4"/>
        <v>28.48147542</v>
      </c>
      <c r="U478" s="52">
        <f t="shared" si="5"/>
        <v>4.764017568</v>
      </c>
      <c r="V478" s="52">
        <f t="shared" si="6"/>
        <v>1.383849439</v>
      </c>
      <c r="W478" s="52">
        <f t="shared" si="7"/>
        <v>0.009931933776</v>
      </c>
      <c r="X478" s="52">
        <f t="shared" si="8"/>
        <v>0.0827661148</v>
      </c>
    </row>
    <row r="479" ht="15.0" customHeight="1">
      <c r="A479" s="51">
        <v>92.0</v>
      </c>
      <c r="B479" s="51" t="s">
        <v>266</v>
      </c>
      <c r="C479" s="51">
        <v>208.0</v>
      </c>
      <c r="D479" s="51" t="s">
        <v>22</v>
      </c>
      <c r="E479" s="51" t="s">
        <v>23</v>
      </c>
      <c r="F479" s="51" t="s">
        <v>299</v>
      </c>
      <c r="G479" s="51" t="s">
        <v>300</v>
      </c>
      <c r="H479" s="52">
        <v>27.57626748770223</v>
      </c>
      <c r="I479" s="52">
        <v>27.602455102971934</v>
      </c>
      <c r="J479" s="52">
        <v>88.48</v>
      </c>
      <c r="K479" s="52">
        <f t="shared" si="100"/>
        <v>27.76638239</v>
      </c>
      <c r="L479" s="52">
        <f t="shared" si="2"/>
        <v>83.29914716</v>
      </c>
      <c r="M479" s="52">
        <v>48.76</v>
      </c>
      <c r="N479" s="52">
        <v>80.73</v>
      </c>
      <c r="O479" s="52">
        <v>15.37</v>
      </c>
      <c r="P479" s="52">
        <v>1.75</v>
      </c>
      <c r="Q479" s="52">
        <v>0.33</v>
      </c>
      <c r="R479" s="52">
        <v>0.57</v>
      </c>
      <c r="S479" s="52">
        <f t="shared" si="3"/>
        <v>13.45895711</v>
      </c>
      <c r="T479" s="52">
        <f t="shared" si="4"/>
        <v>22.283462</v>
      </c>
      <c r="U479" s="52">
        <f t="shared" si="5"/>
        <v>4.242497349</v>
      </c>
      <c r="V479" s="52">
        <f t="shared" si="6"/>
        <v>0.4830429643</v>
      </c>
      <c r="W479" s="52">
        <f t="shared" si="7"/>
        <v>0.09108810184</v>
      </c>
      <c r="X479" s="52">
        <f t="shared" si="8"/>
        <v>0.1573339941</v>
      </c>
    </row>
    <row r="480" ht="15.0" customHeight="1">
      <c r="A480" s="51">
        <v>92.0</v>
      </c>
      <c r="B480" s="51" t="s">
        <v>266</v>
      </c>
      <c r="C480" s="51">
        <v>224.0</v>
      </c>
      <c r="D480" s="51" t="s">
        <v>164</v>
      </c>
      <c r="E480" s="51" t="s">
        <v>165</v>
      </c>
      <c r="F480" s="51" t="s">
        <v>299</v>
      </c>
      <c r="G480" s="51" t="s">
        <v>300</v>
      </c>
      <c r="H480" s="52">
        <v>0.1</v>
      </c>
      <c r="I480" s="52">
        <v>0.1</v>
      </c>
      <c r="J480" s="52">
        <v>99.02</v>
      </c>
      <c r="K480" s="52">
        <f t="shared" si="100"/>
        <v>0.08988635717</v>
      </c>
      <c r="L480" s="52">
        <f t="shared" si="2"/>
        <v>0.2696590715</v>
      </c>
      <c r="M480" s="52">
        <v>0.0</v>
      </c>
      <c r="N480" s="52">
        <v>0.0</v>
      </c>
      <c r="O480" s="52">
        <v>0.0</v>
      </c>
      <c r="P480" s="52">
        <v>0.0</v>
      </c>
      <c r="Q480" s="52">
        <v>0.0</v>
      </c>
      <c r="R480" s="52">
        <v>0.0</v>
      </c>
      <c r="S480" s="52">
        <f t="shared" si="3"/>
        <v>0</v>
      </c>
      <c r="T480" s="52">
        <f t="shared" si="4"/>
        <v>0</v>
      </c>
      <c r="U480" s="52">
        <f t="shared" si="5"/>
        <v>0</v>
      </c>
      <c r="V480" s="52">
        <f t="shared" si="6"/>
        <v>0</v>
      </c>
      <c r="W480" s="52">
        <f t="shared" si="7"/>
        <v>0</v>
      </c>
      <c r="X480" s="52">
        <f t="shared" si="8"/>
        <v>0</v>
      </c>
    </row>
    <row r="481" ht="15.0" customHeight="1">
      <c r="A481" s="51">
        <v>92.0</v>
      </c>
      <c r="B481" s="51" t="s">
        <v>266</v>
      </c>
      <c r="C481" s="51">
        <v>212.0</v>
      </c>
      <c r="D481" s="51" t="s">
        <v>24</v>
      </c>
      <c r="E481" s="51" t="s">
        <v>195</v>
      </c>
      <c r="F481" s="51" t="s">
        <v>299</v>
      </c>
      <c r="G481" s="51" t="s">
        <v>300</v>
      </c>
      <c r="H481" s="52">
        <v>0.9519670192749109</v>
      </c>
      <c r="I481" s="52">
        <v>1.0660989776919538</v>
      </c>
      <c r="J481" s="52">
        <v>99.13</v>
      </c>
      <c r="K481" s="52">
        <f t="shared" si="100"/>
        <v>0.9572141784</v>
      </c>
      <c r="L481" s="52">
        <f t="shared" si="2"/>
        <v>2.871642535</v>
      </c>
      <c r="M481" s="52">
        <v>0.0</v>
      </c>
      <c r="N481" s="52">
        <v>0.0</v>
      </c>
      <c r="O481" s="52">
        <v>0.0</v>
      </c>
      <c r="P481" s="52">
        <v>0.0</v>
      </c>
      <c r="Q481" s="52">
        <v>37.02</v>
      </c>
      <c r="R481" s="52">
        <v>0.03</v>
      </c>
      <c r="S481" s="52">
        <f t="shared" si="3"/>
        <v>0</v>
      </c>
      <c r="T481" s="52">
        <f t="shared" si="4"/>
        <v>0</v>
      </c>
      <c r="U481" s="52">
        <f t="shared" si="5"/>
        <v>0</v>
      </c>
      <c r="V481" s="52">
        <f t="shared" si="6"/>
        <v>0</v>
      </c>
      <c r="W481" s="52">
        <f t="shared" si="7"/>
        <v>0.3946698415</v>
      </c>
      <c r="X481" s="52">
        <f t="shared" si="8"/>
        <v>0.0003198296933</v>
      </c>
    </row>
    <row r="482" ht="15.0" customHeight="1">
      <c r="A482" s="51">
        <v>92.0</v>
      </c>
      <c r="B482" s="51" t="s">
        <v>266</v>
      </c>
      <c r="C482" s="51">
        <v>227.0</v>
      </c>
      <c r="D482" s="51" t="s">
        <v>24</v>
      </c>
      <c r="E482" s="51" t="s">
        <v>70</v>
      </c>
      <c r="F482" s="51" t="s">
        <v>299</v>
      </c>
      <c r="G482" s="51" t="s">
        <v>300</v>
      </c>
      <c r="H482" s="52">
        <v>1.0</v>
      </c>
      <c r="I482" s="52">
        <v>1.0</v>
      </c>
      <c r="J482" s="52">
        <v>99.0</v>
      </c>
      <c r="K482" s="52">
        <f t="shared" si="100"/>
        <v>0.8990451603</v>
      </c>
      <c r="L482" s="52">
        <f t="shared" si="2"/>
        <v>2.697135481</v>
      </c>
      <c r="M482" s="52">
        <v>0.0</v>
      </c>
      <c r="N482" s="52">
        <v>0.0</v>
      </c>
      <c r="O482" s="52">
        <v>0.0</v>
      </c>
      <c r="P482" s="52">
        <v>0.0</v>
      </c>
      <c r="Q482" s="52">
        <v>0.0</v>
      </c>
      <c r="R482" s="52">
        <v>0.0</v>
      </c>
      <c r="S482" s="52">
        <f t="shared" si="3"/>
        <v>0</v>
      </c>
      <c r="T482" s="52">
        <f t="shared" si="4"/>
        <v>0</v>
      </c>
      <c r="U482" s="52">
        <f t="shared" si="5"/>
        <v>0</v>
      </c>
      <c r="V482" s="52">
        <f t="shared" si="6"/>
        <v>0</v>
      </c>
      <c r="W482" s="52">
        <f t="shared" si="7"/>
        <v>0</v>
      </c>
      <c r="X482" s="52">
        <f t="shared" si="8"/>
        <v>0</v>
      </c>
    </row>
    <row r="483" ht="15.0" customHeight="1">
      <c r="A483" s="51">
        <v>93.0</v>
      </c>
      <c r="B483" s="51" t="s">
        <v>61</v>
      </c>
      <c r="C483" s="51">
        <v>188.0</v>
      </c>
      <c r="D483" s="51" t="s">
        <v>16</v>
      </c>
      <c r="E483" s="51" t="s">
        <v>19</v>
      </c>
      <c r="F483" s="51" t="s">
        <v>299</v>
      </c>
      <c r="G483" s="51" t="s">
        <v>300</v>
      </c>
      <c r="H483" s="52">
        <v>72.74655444054689</v>
      </c>
      <c r="I483" s="52">
        <v>72.74246470554691</v>
      </c>
      <c r="J483" s="52">
        <v>87.78</v>
      </c>
      <c r="K483" s="52">
        <f t="shared" ref="K483:K486" si="101">IF(J483&gt;0,(I483/J483)/SUMPRODUCT($I$483:$I$486/$J$483:$J$486)*100,"")</f>
        <v>73.09472363</v>
      </c>
      <c r="L483" s="52">
        <f t="shared" si="2"/>
        <v>219.2841709</v>
      </c>
      <c r="M483" s="52">
        <v>9.1</v>
      </c>
      <c r="N483" s="52">
        <v>86.03</v>
      </c>
      <c r="O483" s="52">
        <v>14.39</v>
      </c>
      <c r="P483" s="52">
        <v>4.18</v>
      </c>
      <c r="Q483" s="52">
        <v>0.03</v>
      </c>
      <c r="R483" s="52">
        <v>0.25</v>
      </c>
      <c r="S483" s="52">
        <f t="shared" si="3"/>
        <v>6.619564288</v>
      </c>
      <c r="T483" s="52">
        <f t="shared" si="4"/>
        <v>62.58034239</v>
      </c>
      <c r="U483" s="52">
        <f t="shared" si="5"/>
        <v>10.46764067</v>
      </c>
      <c r="V483" s="52">
        <f t="shared" si="6"/>
        <v>3.040635025</v>
      </c>
      <c r="W483" s="52">
        <f t="shared" si="7"/>
        <v>0.02182273941</v>
      </c>
      <c r="X483" s="52">
        <f t="shared" si="8"/>
        <v>0.1818561618</v>
      </c>
    </row>
    <row r="484" ht="15.0" customHeight="1">
      <c r="A484" s="51">
        <v>93.0</v>
      </c>
      <c r="B484" s="51" t="s">
        <v>61</v>
      </c>
      <c r="C484" s="51">
        <v>208.0</v>
      </c>
      <c r="D484" s="51" t="s">
        <v>22</v>
      </c>
      <c r="E484" s="51" t="s">
        <v>23</v>
      </c>
      <c r="F484" s="51" t="s">
        <v>299</v>
      </c>
      <c r="G484" s="51" t="s">
        <v>300</v>
      </c>
      <c r="H484" s="52">
        <v>24.747605071326745</v>
      </c>
      <c r="I484" s="52">
        <v>24.748368331960467</v>
      </c>
      <c r="J484" s="52">
        <v>88.48</v>
      </c>
      <c r="K484" s="52">
        <f t="shared" si="101"/>
        <v>24.67147132</v>
      </c>
      <c r="L484" s="52">
        <f t="shared" si="2"/>
        <v>74.01441395</v>
      </c>
      <c r="M484" s="52">
        <v>48.76</v>
      </c>
      <c r="N484" s="52">
        <v>80.73</v>
      </c>
      <c r="O484" s="52">
        <v>15.37</v>
      </c>
      <c r="P484" s="52">
        <v>1.75</v>
      </c>
      <c r="Q484" s="52">
        <v>0.33</v>
      </c>
      <c r="R484" s="52">
        <v>0.57</v>
      </c>
      <c r="S484" s="52">
        <f t="shared" si="3"/>
        <v>12.0673044</v>
      </c>
      <c r="T484" s="52">
        <f t="shared" si="4"/>
        <v>19.97935775</v>
      </c>
      <c r="U484" s="52">
        <f t="shared" si="5"/>
        <v>3.803824213</v>
      </c>
      <c r="V484" s="52">
        <f t="shared" si="6"/>
        <v>0.4330964458</v>
      </c>
      <c r="W484" s="52">
        <f t="shared" si="7"/>
        <v>0.0816696155</v>
      </c>
      <c r="X484" s="52">
        <f t="shared" si="8"/>
        <v>0.1410656995</v>
      </c>
    </row>
    <row r="485" ht="15.0" customHeight="1">
      <c r="A485" s="51">
        <v>93.0</v>
      </c>
      <c r="B485" s="51" t="s">
        <v>61</v>
      </c>
      <c r="C485" s="51">
        <v>212.0</v>
      </c>
      <c r="D485" s="51" t="s">
        <v>24</v>
      </c>
      <c r="E485" s="51" t="s">
        <v>195</v>
      </c>
      <c r="F485" s="51" t="s">
        <v>299</v>
      </c>
      <c r="G485" s="51" t="s">
        <v>300</v>
      </c>
      <c r="H485" s="52">
        <v>1.505840488126371</v>
      </c>
      <c r="I485" s="52">
        <v>1.5091669624926352</v>
      </c>
      <c r="J485" s="52">
        <v>99.13</v>
      </c>
      <c r="K485" s="52">
        <f t="shared" si="101"/>
        <v>1.342844659</v>
      </c>
      <c r="L485" s="52">
        <f t="shared" si="2"/>
        <v>4.028533977</v>
      </c>
      <c r="M485" s="52">
        <v>0.0</v>
      </c>
      <c r="N485" s="52">
        <v>0.0</v>
      </c>
      <c r="O485" s="52">
        <v>0.0</v>
      </c>
      <c r="P485" s="52">
        <v>0.0</v>
      </c>
      <c r="Q485" s="52">
        <v>37.02</v>
      </c>
      <c r="R485" s="52">
        <v>0.03</v>
      </c>
      <c r="S485" s="52">
        <f t="shared" si="3"/>
        <v>0</v>
      </c>
      <c r="T485" s="52">
        <f t="shared" si="4"/>
        <v>0</v>
      </c>
      <c r="U485" s="52">
        <f t="shared" si="5"/>
        <v>0</v>
      </c>
      <c r="V485" s="52">
        <f t="shared" si="6"/>
        <v>0</v>
      </c>
      <c r="W485" s="52">
        <f t="shared" si="7"/>
        <v>0.5586936095</v>
      </c>
      <c r="X485" s="52">
        <f t="shared" si="8"/>
        <v>0.0004527500887</v>
      </c>
    </row>
    <row r="486" ht="15.0" customHeight="1">
      <c r="A486" s="51">
        <v>93.0</v>
      </c>
      <c r="B486" s="51" t="s">
        <v>61</v>
      </c>
      <c r="C486" s="51">
        <v>227.0</v>
      </c>
      <c r="D486" s="51" t="s">
        <v>24</v>
      </c>
      <c r="E486" s="51" t="s">
        <v>70</v>
      </c>
      <c r="F486" s="51" t="s">
        <v>299</v>
      </c>
      <c r="G486" s="51" t="s">
        <v>300</v>
      </c>
      <c r="H486" s="52">
        <v>1.0</v>
      </c>
      <c r="I486" s="52">
        <v>1.0</v>
      </c>
      <c r="J486" s="52">
        <v>99.0</v>
      </c>
      <c r="K486" s="52">
        <f t="shared" si="101"/>
        <v>0.8909603932</v>
      </c>
      <c r="L486" s="52">
        <f t="shared" si="2"/>
        <v>2.67288118</v>
      </c>
      <c r="M486" s="52">
        <v>0.0</v>
      </c>
      <c r="N486" s="52">
        <v>0.0</v>
      </c>
      <c r="O486" s="52">
        <v>0.0</v>
      </c>
      <c r="P486" s="52">
        <v>0.0</v>
      </c>
      <c r="Q486" s="52">
        <v>0.0</v>
      </c>
      <c r="R486" s="52">
        <v>0.0</v>
      </c>
      <c r="S486" s="52">
        <f t="shared" si="3"/>
        <v>0</v>
      </c>
      <c r="T486" s="52">
        <f t="shared" si="4"/>
        <v>0</v>
      </c>
      <c r="U486" s="52">
        <f t="shared" si="5"/>
        <v>0</v>
      </c>
      <c r="V486" s="52">
        <f t="shared" si="6"/>
        <v>0</v>
      </c>
      <c r="W486" s="52">
        <f t="shared" si="7"/>
        <v>0</v>
      </c>
      <c r="X486" s="52">
        <f t="shared" si="8"/>
        <v>0</v>
      </c>
    </row>
    <row r="487" ht="15.0" customHeight="1">
      <c r="A487" s="51">
        <v>94.0</v>
      </c>
      <c r="B487" s="51" t="s">
        <v>61</v>
      </c>
      <c r="C487" s="51">
        <v>188.0</v>
      </c>
      <c r="D487" s="51" t="s">
        <v>16</v>
      </c>
      <c r="E487" s="51" t="s">
        <v>19</v>
      </c>
      <c r="F487" s="51" t="s">
        <v>299</v>
      </c>
      <c r="G487" s="51" t="s">
        <v>300</v>
      </c>
      <c r="H487" s="52">
        <v>94.86171721512268</v>
      </c>
      <c r="I487" s="52">
        <v>94.8509298248693</v>
      </c>
      <c r="J487" s="52">
        <v>87.78</v>
      </c>
      <c r="K487" s="52">
        <f t="shared" ref="K487:K490" si="102">IF(J487&gt;0,(I487/J487)/SUMPRODUCT($I$487:$I$490/$J$487:$J$490)*100,"")</f>
        <v>95.12263912</v>
      </c>
      <c r="L487" s="52">
        <f t="shared" si="2"/>
        <v>285.3679174</v>
      </c>
      <c r="M487" s="52">
        <v>9.1</v>
      </c>
      <c r="N487" s="52">
        <v>86.03</v>
      </c>
      <c r="O487" s="52">
        <v>14.39</v>
      </c>
      <c r="P487" s="52">
        <v>4.18</v>
      </c>
      <c r="Q487" s="52">
        <v>0.03</v>
      </c>
      <c r="R487" s="52">
        <v>0.25</v>
      </c>
      <c r="S487" s="52">
        <f t="shared" si="3"/>
        <v>8.631434614</v>
      </c>
      <c r="T487" s="52">
        <f t="shared" si="4"/>
        <v>81.60025493</v>
      </c>
      <c r="U487" s="52">
        <f t="shared" si="5"/>
        <v>13.6490488</v>
      </c>
      <c r="V487" s="52">
        <f t="shared" si="6"/>
        <v>3.964768867</v>
      </c>
      <c r="W487" s="52">
        <f t="shared" si="7"/>
        <v>0.02845527895</v>
      </c>
      <c r="X487" s="52">
        <f t="shared" si="8"/>
        <v>0.2371273246</v>
      </c>
    </row>
    <row r="488" ht="15.0" customHeight="1">
      <c r="A488" s="51">
        <v>94.0</v>
      </c>
      <c r="B488" s="51" t="s">
        <v>61</v>
      </c>
      <c r="C488" s="51">
        <v>208.0</v>
      </c>
      <c r="D488" s="51" t="s">
        <v>22</v>
      </c>
      <c r="E488" s="51" t="s">
        <v>23</v>
      </c>
      <c r="F488" s="51" t="s">
        <v>299</v>
      </c>
      <c r="G488" s="51" t="s">
        <v>300</v>
      </c>
      <c r="H488" s="52">
        <v>2.8384005222965207</v>
      </c>
      <c r="I488" s="52">
        <v>2.8404137555062396</v>
      </c>
      <c r="J488" s="52">
        <v>88.48</v>
      </c>
      <c r="K488" s="52">
        <f t="shared" si="102"/>
        <v>2.826014385</v>
      </c>
      <c r="L488" s="52">
        <f t="shared" si="2"/>
        <v>8.478043154</v>
      </c>
      <c r="M488" s="52">
        <v>48.76</v>
      </c>
      <c r="N488" s="52">
        <v>80.73</v>
      </c>
      <c r="O488" s="52">
        <v>15.37</v>
      </c>
      <c r="P488" s="52">
        <v>1.75</v>
      </c>
      <c r="Q488" s="52">
        <v>0.33</v>
      </c>
      <c r="R488" s="52">
        <v>0.57</v>
      </c>
      <c r="S488" s="52">
        <f t="shared" si="3"/>
        <v>1.384985747</v>
      </c>
      <c r="T488" s="52">
        <f t="shared" si="4"/>
        <v>2.293066025</v>
      </c>
      <c r="U488" s="52">
        <f t="shared" si="5"/>
        <v>0.4365715942</v>
      </c>
      <c r="V488" s="52">
        <f t="shared" si="6"/>
        <v>0.04970724072</v>
      </c>
      <c r="W488" s="52">
        <f t="shared" si="7"/>
        <v>0.009373365393</v>
      </c>
      <c r="X488" s="52">
        <f t="shared" si="8"/>
        <v>0.01619035841</v>
      </c>
    </row>
    <row r="489" ht="15.0" customHeight="1">
      <c r="A489" s="51">
        <v>94.0</v>
      </c>
      <c r="B489" s="51" t="s">
        <v>61</v>
      </c>
      <c r="C489" s="51">
        <v>212.0</v>
      </c>
      <c r="D489" s="51" t="s">
        <v>24</v>
      </c>
      <c r="E489" s="51" t="s">
        <v>195</v>
      </c>
      <c r="F489" s="51" t="s">
        <v>299</v>
      </c>
      <c r="G489" s="51" t="s">
        <v>300</v>
      </c>
      <c r="H489" s="52">
        <v>1.2998822625808046</v>
      </c>
      <c r="I489" s="52">
        <v>1.3086564196244694</v>
      </c>
      <c r="J489" s="52">
        <v>99.13</v>
      </c>
      <c r="K489" s="52">
        <f t="shared" si="102"/>
        <v>1.162139891</v>
      </c>
      <c r="L489" s="52">
        <f t="shared" si="2"/>
        <v>3.486419672</v>
      </c>
      <c r="M489" s="52">
        <v>0.0</v>
      </c>
      <c r="N489" s="52">
        <v>0.0</v>
      </c>
      <c r="O489" s="52">
        <v>0.0</v>
      </c>
      <c r="P489" s="52">
        <v>0.0</v>
      </c>
      <c r="Q489" s="52">
        <v>37.02</v>
      </c>
      <c r="R489" s="52">
        <v>0.03</v>
      </c>
      <c r="S489" s="52">
        <f t="shared" si="3"/>
        <v>0</v>
      </c>
      <c r="T489" s="52">
        <f t="shared" si="4"/>
        <v>0</v>
      </c>
      <c r="U489" s="52">
        <f t="shared" si="5"/>
        <v>0</v>
      </c>
      <c r="V489" s="52">
        <f t="shared" si="6"/>
        <v>0</v>
      </c>
      <c r="W489" s="52">
        <f t="shared" si="7"/>
        <v>0.4844646065</v>
      </c>
      <c r="X489" s="52">
        <f t="shared" si="8"/>
        <v>0.0003925969259</v>
      </c>
    </row>
    <row r="490" ht="15.0" customHeight="1">
      <c r="A490" s="51">
        <v>94.0</v>
      </c>
      <c r="B490" s="51" t="s">
        <v>61</v>
      </c>
      <c r="C490" s="51">
        <v>227.0</v>
      </c>
      <c r="D490" s="51" t="s">
        <v>24</v>
      </c>
      <c r="E490" s="51" t="s">
        <v>70</v>
      </c>
      <c r="F490" s="51" t="s">
        <v>299</v>
      </c>
      <c r="G490" s="51" t="s">
        <v>300</v>
      </c>
      <c r="H490" s="52">
        <v>1.0</v>
      </c>
      <c r="I490" s="52">
        <v>1.0</v>
      </c>
      <c r="J490" s="52">
        <v>99.0</v>
      </c>
      <c r="K490" s="52">
        <f t="shared" si="102"/>
        <v>0.8892066057</v>
      </c>
      <c r="L490" s="52">
        <f t="shared" si="2"/>
        <v>2.667619817</v>
      </c>
      <c r="M490" s="52">
        <v>0.0</v>
      </c>
      <c r="N490" s="52">
        <v>0.0</v>
      </c>
      <c r="O490" s="52">
        <v>0.0</v>
      </c>
      <c r="P490" s="52">
        <v>0.0</v>
      </c>
      <c r="Q490" s="52">
        <v>0.0</v>
      </c>
      <c r="R490" s="52">
        <v>0.0</v>
      </c>
      <c r="S490" s="52">
        <f t="shared" si="3"/>
        <v>0</v>
      </c>
      <c r="T490" s="52">
        <f t="shared" si="4"/>
        <v>0</v>
      </c>
      <c r="U490" s="52">
        <f t="shared" si="5"/>
        <v>0</v>
      </c>
      <c r="V490" s="52">
        <f t="shared" si="6"/>
        <v>0</v>
      </c>
      <c r="W490" s="52">
        <f t="shared" si="7"/>
        <v>0</v>
      </c>
      <c r="X490" s="52">
        <f t="shared" si="8"/>
        <v>0</v>
      </c>
    </row>
    <row r="491" ht="15.0" customHeight="1">
      <c r="A491" s="51">
        <v>95.0</v>
      </c>
      <c r="B491" s="51" t="s">
        <v>61</v>
      </c>
      <c r="C491" s="51">
        <v>188.0</v>
      </c>
      <c r="D491" s="51" t="s">
        <v>16</v>
      </c>
      <c r="E491" s="51" t="s">
        <v>19</v>
      </c>
      <c r="F491" s="51" t="s">
        <v>299</v>
      </c>
      <c r="G491" s="51" t="s">
        <v>300</v>
      </c>
      <c r="H491" s="52">
        <v>82.80464056538376</v>
      </c>
      <c r="I491" s="52">
        <v>82.80437910911265</v>
      </c>
      <c r="J491" s="52">
        <v>87.78</v>
      </c>
      <c r="K491" s="52">
        <f t="shared" ref="K491:K494" si="103">IF(J491&gt;0,(I491/J491)/SUMPRODUCT($I$491:$I$494/$J$491:$J$494)*100,"")</f>
        <v>83.13088505</v>
      </c>
      <c r="L491" s="52">
        <f t="shared" si="2"/>
        <v>249.3926552</v>
      </c>
      <c r="M491" s="52">
        <v>9.1</v>
      </c>
      <c r="N491" s="52">
        <v>86.03</v>
      </c>
      <c r="O491" s="52">
        <v>14.39</v>
      </c>
      <c r="P491" s="52">
        <v>4.18</v>
      </c>
      <c r="Q491" s="52">
        <v>0.03</v>
      </c>
      <c r="R491" s="52">
        <v>0.25</v>
      </c>
      <c r="S491" s="52">
        <f t="shared" si="3"/>
        <v>7.535198499</v>
      </c>
      <c r="T491" s="52">
        <f t="shared" si="4"/>
        <v>71.23660735</v>
      </c>
      <c r="U491" s="52">
        <f t="shared" si="5"/>
        <v>11.91555015</v>
      </c>
      <c r="V491" s="52">
        <f t="shared" si="6"/>
        <v>3.461223047</v>
      </c>
      <c r="W491" s="52">
        <f t="shared" si="7"/>
        <v>0.02484131373</v>
      </c>
      <c r="X491" s="52">
        <f t="shared" si="8"/>
        <v>0.2070109478</v>
      </c>
    </row>
    <row r="492" ht="15.0" customHeight="1">
      <c r="A492" s="51">
        <v>95.0</v>
      </c>
      <c r="B492" s="51" t="s">
        <v>61</v>
      </c>
      <c r="C492" s="51">
        <v>208.0</v>
      </c>
      <c r="D492" s="51" t="s">
        <v>22</v>
      </c>
      <c r="E492" s="51" t="s">
        <v>23</v>
      </c>
      <c r="F492" s="51" t="s">
        <v>299</v>
      </c>
      <c r="G492" s="51" t="s">
        <v>300</v>
      </c>
      <c r="H492" s="52">
        <v>14.776062338563467</v>
      </c>
      <c r="I492" s="52">
        <v>14.776111133724811</v>
      </c>
      <c r="J492" s="52">
        <v>88.48</v>
      </c>
      <c r="K492" s="52">
        <f t="shared" si="103"/>
        <v>14.71701426</v>
      </c>
      <c r="L492" s="52">
        <f t="shared" si="2"/>
        <v>44.15104277</v>
      </c>
      <c r="M492" s="52">
        <v>48.76</v>
      </c>
      <c r="N492" s="52">
        <v>80.73</v>
      </c>
      <c r="O492" s="52">
        <v>15.37</v>
      </c>
      <c r="P492" s="52">
        <v>1.75</v>
      </c>
      <c r="Q492" s="52">
        <v>0.33</v>
      </c>
      <c r="R492" s="52">
        <v>0.57</v>
      </c>
      <c r="S492" s="52">
        <f t="shared" si="3"/>
        <v>7.204831789</v>
      </c>
      <c r="T492" s="52">
        <f t="shared" si="4"/>
        <v>11.92875452</v>
      </c>
      <c r="U492" s="52">
        <f t="shared" si="5"/>
        <v>2.271088281</v>
      </c>
      <c r="V492" s="52">
        <f t="shared" si="6"/>
        <v>0.2585819448</v>
      </c>
      <c r="W492" s="52">
        <f t="shared" si="7"/>
        <v>0.04876116674</v>
      </c>
      <c r="X492" s="52">
        <f t="shared" si="8"/>
        <v>0.08422383346</v>
      </c>
    </row>
    <row r="493" ht="15.0" customHeight="1">
      <c r="A493" s="51">
        <v>95.0</v>
      </c>
      <c r="B493" s="51" t="s">
        <v>61</v>
      </c>
      <c r="C493" s="51">
        <v>212.0</v>
      </c>
      <c r="D493" s="51" t="s">
        <v>24</v>
      </c>
      <c r="E493" s="51" t="s">
        <v>195</v>
      </c>
      <c r="F493" s="51" t="s">
        <v>299</v>
      </c>
      <c r="G493" s="51" t="s">
        <v>300</v>
      </c>
      <c r="H493" s="52">
        <v>1.4192970960527784</v>
      </c>
      <c r="I493" s="52">
        <v>1.4195097571625432</v>
      </c>
      <c r="J493" s="52">
        <v>99.13</v>
      </c>
      <c r="K493" s="52">
        <f t="shared" si="103"/>
        <v>1.261937806</v>
      </c>
      <c r="L493" s="52">
        <f t="shared" si="2"/>
        <v>3.785813419</v>
      </c>
      <c r="M493" s="52">
        <v>0.0</v>
      </c>
      <c r="N493" s="52">
        <v>0.0</v>
      </c>
      <c r="O493" s="52">
        <v>0.0</v>
      </c>
      <c r="P493" s="52">
        <v>0.0</v>
      </c>
      <c r="Q493" s="52">
        <v>37.02</v>
      </c>
      <c r="R493" s="52">
        <v>0.03</v>
      </c>
      <c r="S493" s="52">
        <f t="shared" si="3"/>
        <v>0</v>
      </c>
      <c r="T493" s="52">
        <f t="shared" si="4"/>
        <v>0</v>
      </c>
      <c r="U493" s="52">
        <f t="shared" si="5"/>
        <v>0</v>
      </c>
      <c r="V493" s="52">
        <f t="shared" si="6"/>
        <v>0</v>
      </c>
      <c r="W493" s="52">
        <f t="shared" si="7"/>
        <v>0.5255025121</v>
      </c>
      <c r="X493" s="52">
        <f t="shared" si="8"/>
        <v>0.0004258529271</v>
      </c>
    </row>
    <row r="494" ht="15.0" customHeight="1">
      <c r="A494" s="51">
        <v>95.0</v>
      </c>
      <c r="B494" s="51" t="s">
        <v>61</v>
      </c>
      <c r="C494" s="51">
        <v>227.0</v>
      </c>
      <c r="D494" s="51" t="s">
        <v>24</v>
      </c>
      <c r="E494" s="51" t="s">
        <v>70</v>
      </c>
      <c r="F494" s="51" t="s">
        <v>299</v>
      </c>
      <c r="G494" s="51" t="s">
        <v>300</v>
      </c>
      <c r="H494" s="52">
        <v>1.0</v>
      </c>
      <c r="I494" s="52">
        <v>1.0</v>
      </c>
      <c r="J494" s="52">
        <v>99.0</v>
      </c>
      <c r="K494" s="52">
        <f t="shared" si="103"/>
        <v>0.890162882</v>
      </c>
      <c r="L494" s="52">
        <f t="shared" si="2"/>
        <v>2.670488646</v>
      </c>
      <c r="M494" s="52">
        <v>0.0</v>
      </c>
      <c r="N494" s="52">
        <v>0.0</v>
      </c>
      <c r="O494" s="52">
        <v>0.0</v>
      </c>
      <c r="P494" s="52">
        <v>0.0</v>
      </c>
      <c r="Q494" s="52">
        <v>0.0</v>
      </c>
      <c r="R494" s="52">
        <v>0.0</v>
      </c>
      <c r="S494" s="52">
        <f t="shared" si="3"/>
        <v>0</v>
      </c>
      <c r="T494" s="52">
        <f t="shared" si="4"/>
        <v>0</v>
      </c>
      <c r="U494" s="52">
        <f t="shared" si="5"/>
        <v>0</v>
      </c>
      <c r="V494" s="52">
        <f t="shared" si="6"/>
        <v>0</v>
      </c>
      <c r="W494" s="52">
        <f t="shared" si="7"/>
        <v>0</v>
      </c>
      <c r="X494" s="52">
        <f t="shared" si="8"/>
        <v>0</v>
      </c>
    </row>
    <row r="495" ht="15.0" customHeight="1">
      <c r="A495" s="51">
        <v>96.0</v>
      </c>
      <c r="B495" s="51" t="s">
        <v>61</v>
      </c>
      <c r="C495" s="51">
        <v>188.0</v>
      </c>
      <c r="D495" s="51" t="s">
        <v>16</v>
      </c>
      <c r="E495" s="51" t="s">
        <v>19</v>
      </c>
      <c r="F495" s="51" t="s">
        <v>299</v>
      </c>
      <c r="G495" s="51" t="s">
        <v>300</v>
      </c>
      <c r="H495" s="52">
        <v>60.41050965762894</v>
      </c>
      <c r="I495" s="52">
        <v>59.812051828460866</v>
      </c>
      <c r="J495" s="52">
        <v>87.78</v>
      </c>
      <c r="K495" s="52">
        <f t="shared" ref="K495:K499" si="104">IF(J495&gt;0,(I495/J495)/SUMPRODUCT($I$495:$I$499/$J$495:$J$499)*100,"")</f>
        <v>60.14954095</v>
      </c>
      <c r="L495" s="52">
        <f t="shared" si="2"/>
        <v>180.4486228</v>
      </c>
      <c r="M495" s="52">
        <v>9.1</v>
      </c>
      <c r="N495" s="52">
        <v>86.03</v>
      </c>
      <c r="O495" s="52">
        <v>14.39</v>
      </c>
      <c r="P495" s="52">
        <v>4.18</v>
      </c>
      <c r="Q495" s="52">
        <v>0.03</v>
      </c>
      <c r="R495" s="52">
        <v>0.25</v>
      </c>
      <c r="S495" s="52">
        <f t="shared" si="3"/>
        <v>5.442896716</v>
      </c>
      <c r="T495" s="52">
        <f t="shared" si="4"/>
        <v>51.45630819</v>
      </c>
      <c r="U495" s="52">
        <f t="shared" si="5"/>
        <v>8.606954258</v>
      </c>
      <c r="V495" s="52">
        <f t="shared" si="6"/>
        <v>2.500143766</v>
      </c>
      <c r="W495" s="52">
        <f t="shared" si="7"/>
        <v>0.01794361555</v>
      </c>
      <c r="X495" s="52">
        <f t="shared" si="8"/>
        <v>0.1495301296</v>
      </c>
    </row>
    <row r="496" ht="15.0" customHeight="1">
      <c r="A496" s="51">
        <v>96.0</v>
      </c>
      <c r="B496" s="51" t="s">
        <v>61</v>
      </c>
      <c r="C496" s="51">
        <v>192.0</v>
      </c>
      <c r="D496" s="51" t="s">
        <v>16</v>
      </c>
      <c r="E496" s="51" t="s">
        <v>17</v>
      </c>
      <c r="F496" s="51" t="s">
        <v>299</v>
      </c>
      <c r="G496" s="51" t="s">
        <v>300</v>
      </c>
      <c r="H496" s="52">
        <v>14.731024999432702</v>
      </c>
      <c r="I496" s="52">
        <v>15.459505801261109</v>
      </c>
      <c r="J496" s="52">
        <v>88.05</v>
      </c>
      <c r="K496" s="52">
        <f t="shared" si="104"/>
        <v>15.49906284</v>
      </c>
      <c r="L496" s="52">
        <f t="shared" si="2"/>
        <v>46.49718851</v>
      </c>
      <c r="M496" s="52">
        <v>17.12</v>
      </c>
      <c r="N496" s="52">
        <v>71.35</v>
      </c>
      <c r="O496" s="52">
        <v>43.96</v>
      </c>
      <c r="P496" s="52">
        <v>3.58</v>
      </c>
      <c r="Q496" s="52">
        <v>0.19</v>
      </c>
      <c r="R496" s="52">
        <v>0.95</v>
      </c>
      <c r="S496" s="52">
        <f t="shared" si="3"/>
        <v>2.646667393</v>
      </c>
      <c r="T496" s="52">
        <f t="shared" si="4"/>
        <v>11.03035739</v>
      </c>
      <c r="U496" s="52">
        <f t="shared" si="5"/>
        <v>6.79599875</v>
      </c>
      <c r="V496" s="52">
        <f t="shared" si="6"/>
        <v>0.5534503077</v>
      </c>
      <c r="W496" s="52">
        <f t="shared" si="7"/>
        <v>0.02937306102</v>
      </c>
      <c r="X496" s="52">
        <f t="shared" si="8"/>
        <v>0.1468653051</v>
      </c>
    </row>
    <row r="497" ht="15.0" customHeight="1">
      <c r="A497" s="51">
        <v>96.0</v>
      </c>
      <c r="B497" s="51" t="s">
        <v>61</v>
      </c>
      <c r="C497" s="51">
        <v>208.0</v>
      </c>
      <c r="D497" s="51" t="s">
        <v>22</v>
      </c>
      <c r="E497" s="51" t="s">
        <v>23</v>
      </c>
      <c r="F497" s="51" t="s">
        <v>299</v>
      </c>
      <c r="G497" s="51" t="s">
        <v>300</v>
      </c>
      <c r="H497" s="52">
        <v>21.877688326746465</v>
      </c>
      <c r="I497" s="52">
        <v>21.733602496519374</v>
      </c>
      <c r="J497" s="52">
        <v>88.48</v>
      </c>
      <c r="K497" s="52">
        <f t="shared" si="104"/>
        <v>21.68332096</v>
      </c>
      <c r="L497" s="52">
        <f t="shared" si="2"/>
        <v>65.04996289</v>
      </c>
      <c r="M497" s="52">
        <v>48.76</v>
      </c>
      <c r="N497" s="52">
        <v>80.73</v>
      </c>
      <c r="O497" s="52">
        <v>15.37</v>
      </c>
      <c r="P497" s="52">
        <v>1.75</v>
      </c>
      <c r="Q497" s="52">
        <v>0.33</v>
      </c>
      <c r="R497" s="52">
        <v>0.57</v>
      </c>
      <c r="S497" s="52">
        <f t="shared" si="3"/>
        <v>10.59730458</v>
      </c>
      <c r="T497" s="52">
        <f t="shared" si="4"/>
        <v>17.5455373</v>
      </c>
      <c r="U497" s="52">
        <f t="shared" si="5"/>
        <v>3.340454704</v>
      </c>
      <c r="V497" s="52">
        <f t="shared" si="6"/>
        <v>0.3803380437</v>
      </c>
      <c r="W497" s="52">
        <f t="shared" si="7"/>
        <v>0.07172088824</v>
      </c>
      <c r="X497" s="52">
        <f t="shared" si="8"/>
        <v>0.1238815342</v>
      </c>
    </row>
    <row r="498" ht="15.0" customHeight="1">
      <c r="A498" s="51">
        <v>96.0</v>
      </c>
      <c r="B498" s="51" t="s">
        <v>61</v>
      </c>
      <c r="C498" s="51">
        <v>212.0</v>
      </c>
      <c r="D498" s="51" t="s">
        <v>24</v>
      </c>
      <c r="E498" s="51" t="s">
        <v>195</v>
      </c>
      <c r="F498" s="51" t="s">
        <v>299</v>
      </c>
      <c r="G498" s="51" t="s">
        <v>300</v>
      </c>
      <c r="H498" s="52">
        <v>1.980777016191897</v>
      </c>
      <c r="I498" s="52">
        <v>1.9948398737586512</v>
      </c>
      <c r="J498" s="52">
        <v>99.13</v>
      </c>
      <c r="K498" s="52">
        <f t="shared" si="104"/>
        <v>1.776405573</v>
      </c>
      <c r="L498" s="52">
        <f t="shared" si="2"/>
        <v>5.32921672</v>
      </c>
      <c r="M498" s="52">
        <v>0.0</v>
      </c>
      <c r="N498" s="52">
        <v>0.0</v>
      </c>
      <c r="O498" s="52">
        <v>0.0</v>
      </c>
      <c r="P498" s="52">
        <v>0.0</v>
      </c>
      <c r="Q498" s="52">
        <v>37.02</v>
      </c>
      <c r="R498" s="52">
        <v>0.03</v>
      </c>
      <c r="S498" s="52">
        <f t="shared" si="3"/>
        <v>0</v>
      </c>
      <c r="T498" s="52">
        <f t="shared" si="4"/>
        <v>0</v>
      </c>
      <c r="U498" s="52">
        <f t="shared" si="5"/>
        <v>0</v>
      </c>
      <c r="V498" s="52">
        <f t="shared" si="6"/>
        <v>0</v>
      </c>
      <c r="W498" s="52">
        <f t="shared" si="7"/>
        <v>0.7384897213</v>
      </c>
      <c r="X498" s="52">
        <f t="shared" si="8"/>
        <v>0.0005984519621</v>
      </c>
    </row>
    <row r="499" ht="15.0" customHeight="1">
      <c r="A499" s="51">
        <v>96.0</v>
      </c>
      <c r="B499" s="51" t="s">
        <v>61</v>
      </c>
      <c r="C499" s="51">
        <v>227.0</v>
      </c>
      <c r="D499" s="51" t="s">
        <v>24</v>
      </c>
      <c r="E499" s="51" t="s">
        <v>70</v>
      </c>
      <c r="F499" s="51" t="s">
        <v>299</v>
      </c>
      <c r="G499" s="51" t="s">
        <v>300</v>
      </c>
      <c r="H499" s="52">
        <v>1.0</v>
      </c>
      <c r="I499" s="52">
        <v>1.0</v>
      </c>
      <c r="J499" s="52">
        <v>99.0</v>
      </c>
      <c r="K499" s="52">
        <f t="shared" si="104"/>
        <v>0.8916696776</v>
      </c>
      <c r="L499" s="52">
        <f t="shared" si="2"/>
        <v>2.675009033</v>
      </c>
      <c r="M499" s="52">
        <v>0.0</v>
      </c>
      <c r="N499" s="52">
        <v>0.0</v>
      </c>
      <c r="O499" s="52">
        <v>0.0</v>
      </c>
      <c r="P499" s="52">
        <v>0.0</v>
      </c>
      <c r="Q499" s="52">
        <v>0.0</v>
      </c>
      <c r="R499" s="52">
        <v>0.0</v>
      </c>
      <c r="S499" s="52">
        <f t="shared" si="3"/>
        <v>0</v>
      </c>
      <c r="T499" s="52">
        <f t="shared" si="4"/>
        <v>0</v>
      </c>
      <c r="U499" s="52">
        <f t="shared" si="5"/>
        <v>0</v>
      </c>
      <c r="V499" s="52">
        <f t="shared" si="6"/>
        <v>0</v>
      </c>
      <c r="W499" s="52">
        <f t="shared" si="7"/>
        <v>0</v>
      </c>
      <c r="X499" s="52">
        <f t="shared" si="8"/>
        <v>0</v>
      </c>
    </row>
    <row r="500" ht="15.0" customHeight="1">
      <c r="A500" s="51">
        <v>97.0</v>
      </c>
      <c r="B500" s="51" t="s">
        <v>61</v>
      </c>
      <c r="C500" s="51">
        <v>188.0</v>
      </c>
      <c r="D500" s="51" t="s">
        <v>16</v>
      </c>
      <c r="E500" s="51" t="s">
        <v>19</v>
      </c>
      <c r="F500" s="51" t="s">
        <v>299</v>
      </c>
      <c r="G500" s="51" t="s">
        <v>300</v>
      </c>
      <c r="H500" s="52">
        <v>66.10812218137777</v>
      </c>
      <c r="I500" s="52">
        <v>58.35983064106198</v>
      </c>
      <c r="J500" s="52">
        <v>87.78</v>
      </c>
      <c r="K500" s="52">
        <f t="shared" ref="K500:K504" si="105">IF(J500&gt;0,(I500/J500)/SUMPRODUCT($I$500:$I$504/$J$500:$J$504)*100,"")</f>
        <v>58.82962957</v>
      </c>
      <c r="L500" s="52">
        <f t="shared" si="2"/>
        <v>176.4888887</v>
      </c>
      <c r="M500" s="52">
        <v>9.1</v>
      </c>
      <c r="N500" s="52">
        <v>86.03</v>
      </c>
      <c r="O500" s="52">
        <v>14.39</v>
      </c>
      <c r="P500" s="52">
        <v>4.18</v>
      </c>
      <c r="Q500" s="52">
        <v>0.03</v>
      </c>
      <c r="R500" s="52">
        <v>0.25</v>
      </c>
      <c r="S500" s="52">
        <f t="shared" si="3"/>
        <v>5.310744588</v>
      </c>
      <c r="T500" s="52">
        <f t="shared" si="4"/>
        <v>50.2069623</v>
      </c>
      <c r="U500" s="52">
        <f t="shared" si="5"/>
        <v>8.397979629</v>
      </c>
      <c r="V500" s="52">
        <f t="shared" si="6"/>
        <v>2.439440921</v>
      </c>
      <c r="W500" s="52">
        <f t="shared" si="7"/>
        <v>0.01750794919</v>
      </c>
      <c r="X500" s="52">
        <f t="shared" si="8"/>
        <v>0.1458995766</v>
      </c>
    </row>
    <row r="501" ht="15.0" customHeight="1">
      <c r="A501" s="51">
        <v>97.0</v>
      </c>
      <c r="B501" s="51" t="s">
        <v>61</v>
      </c>
      <c r="C501" s="51">
        <v>172.0</v>
      </c>
      <c r="D501" s="51" t="s">
        <v>16</v>
      </c>
      <c r="E501" s="51" t="s">
        <v>34</v>
      </c>
      <c r="F501" s="51" t="s">
        <v>299</v>
      </c>
      <c r="G501" s="51" t="s">
        <v>300</v>
      </c>
      <c r="H501" s="52">
        <v>6.784001764995621</v>
      </c>
      <c r="I501" s="52">
        <v>14.704834587786916</v>
      </c>
      <c r="J501" s="52">
        <v>88.98</v>
      </c>
      <c r="K501" s="52">
        <f t="shared" si="105"/>
        <v>14.62330067</v>
      </c>
      <c r="L501" s="52">
        <f t="shared" si="2"/>
        <v>43.869902</v>
      </c>
      <c r="M501" s="52">
        <v>13.73</v>
      </c>
      <c r="N501" s="52">
        <v>83.51</v>
      </c>
      <c r="O501" s="52">
        <v>24.43</v>
      </c>
      <c r="P501" s="52">
        <v>15.84</v>
      </c>
      <c r="Q501" s="52">
        <v>0.11</v>
      </c>
      <c r="R501" s="52">
        <v>1.72</v>
      </c>
      <c r="S501" s="52">
        <f t="shared" si="3"/>
        <v>2.018973789</v>
      </c>
      <c r="T501" s="52">
        <f t="shared" si="4"/>
        <v>12.28000736</v>
      </c>
      <c r="U501" s="52">
        <f t="shared" si="5"/>
        <v>3.59239109</v>
      </c>
      <c r="V501" s="52">
        <f t="shared" si="6"/>
        <v>2.329245799</v>
      </c>
      <c r="W501" s="52">
        <f t="shared" si="7"/>
        <v>0.01617531805</v>
      </c>
      <c r="X501" s="52">
        <f t="shared" si="8"/>
        <v>0.2529231549</v>
      </c>
    </row>
    <row r="502" ht="15.0" customHeight="1">
      <c r="A502" s="51">
        <v>97.0</v>
      </c>
      <c r="B502" s="51" t="s">
        <v>61</v>
      </c>
      <c r="C502" s="51">
        <v>208.0</v>
      </c>
      <c r="D502" s="51" t="s">
        <v>22</v>
      </c>
      <c r="E502" s="51" t="s">
        <v>23</v>
      </c>
      <c r="F502" s="51" t="s">
        <v>299</v>
      </c>
      <c r="G502" s="51" t="s">
        <v>300</v>
      </c>
      <c r="H502" s="52">
        <v>24.076263589067704</v>
      </c>
      <c r="I502" s="52">
        <v>23.29194074985419</v>
      </c>
      <c r="J502" s="52">
        <v>88.48</v>
      </c>
      <c r="K502" s="52">
        <f t="shared" si="105"/>
        <v>23.29368671</v>
      </c>
      <c r="L502" s="52">
        <f t="shared" si="2"/>
        <v>69.88106013</v>
      </c>
      <c r="M502" s="52">
        <v>48.76</v>
      </c>
      <c r="N502" s="52">
        <v>80.73</v>
      </c>
      <c r="O502" s="52">
        <v>15.37</v>
      </c>
      <c r="P502" s="52">
        <v>1.75</v>
      </c>
      <c r="Q502" s="52">
        <v>0.33</v>
      </c>
      <c r="R502" s="52">
        <v>0.57</v>
      </c>
      <c r="S502" s="52">
        <f t="shared" si="3"/>
        <v>11.35715031</v>
      </c>
      <c r="T502" s="52">
        <f t="shared" si="4"/>
        <v>18.80358377</v>
      </c>
      <c r="U502" s="52">
        <f t="shared" si="5"/>
        <v>3.579971293</v>
      </c>
      <c r="V502" s="52">
        <f t="shared" si="6"/>
        <v>0.4076089631</v>
      </c>
      <c r="W502" s="52">
        <f t="shared" si="7"/>
        <v>0.07686340447</v>
      </c>
      <c r="X502" s="52">
        <f t="shared" si="8"/>
        <v>0.1327640623</v>
      </c>
    </row>
    <row r="503" ht="15.0" customHeight="1">
      <c r="A503" s="51">
        <v>97.0</v>
      </c>
      <c r="B503" s="51" t="s">
        <v>61</v>
      </c>
      <c r="C503" s="51">
        <v>212.0</v>
      </c>
      <c r="D503" s="51" t="s">
        <v>24</v>
      </c>
      <c r="E503" s="51" t="s">
        <v>195</v>
      </c>
      <c r="F503" s="51" t="s">
        <v>299</v>
      </c>
      <c r="G503" s="51" t="s">
        <v>300</v>
      </c>
      <c r="H503" s="52">
        <v>2.0316124645589055</v>
      </c>
      <c r="I503" s="52">
        <v>2.643394021296905</v>
      </c>
      <c r="J503" s="52">
        <v>99.13</v>
      </c>
      <c r="K503" s="52">
        <f t="shared" si="105"/>
        <v>2.359578686</v>
      </c>
      <c r="L503" s="52">
        <f t="shared" si="2"/>
        <v>7.078736059</v>
      </c>
      <c r="M503" s="52">
        <v>0.0</v>
      </c>
      <c r="N503" s="52">
        <v>0.0</v>
      </c>
      <c r="O503" s="52">
        <v>0.0</v>
      </c>
      <c r="P503" s="52">
        <v>0.0</v>
      </c>
      <c r="Q503" s="52">
        <v>37.02</v>
      </c>
      <c r="R503" s="52">
        <v>0.03</v>
      </c>
      <c r="S503" s="52">
        <f t="shared" si="3"/>
        <v>0</v>
      </c>
      <c r="T503" s="52">
        <f t="shared" si="4"/>
        <v>0</v>
      </c>
      <c r="U503" s="52">
        <f t="shared" si="5"/>
        <v>0</v>
      </c>
      <c r="V503" s="52">
        <f t="shared" si="6"/>
        <v>0</v>
      </c>
      <c r="W503" s="52">
        <f t="shared" si="7"/>
        <v>0.9785844667</v>
      </c>
      <c r="X503" s="52">
        <f t="shared" si="8"/>
        <v>0.0007930182064</v>
      </c>
    </row>
    <row r="504" ht="15.0" customHeight="1">
      <c r="A504" s="51">
        <v>97.0</v>
      </c>
      <c r="B504" s="51" t="s">
        <v>61</v>
      </c>
      <c r="C504" s="51">
        <v>227.0</v>
      </c>
      <c r="D504" s="51" t="s">
        <v>24</v>
      </c>
      <c r="E504" s="51" t="s">
        <v>70</v>
      </c>
      <c r="F504" s="51" t="s">
        <v>299</v>
      </c>
      <c r="G504" s="51" t="s">
        <v>300</v>
      </c>
      <c r="H504" s="52">
        <v>1.0</v>
      </c>
      <c r="I504" s="52">
        <v>1.0</v>
      </c>
      <c r="J504" s="52">
        <v>99.0</v>
      </c>
      <c r="K504" s="52">
        <f t="shared" si="105"/>
        <v>0.8938043681</v>
      </c>
      <c r="L504" s="52">
        <f t="shared" si="2"/>
        <v>2.681413104</v>
      </c>
      <c r="M504" s="52">
        <v>0.0</v>
      </c>
      <c r="N504" s="52">
        <v>0.0</v>
      </c>
      <c r="O504" s="52">
        <v>0.0</v>
      </c>
      <c r="P504" s="52">
        <v>0.0</v>
      </c>
      <c r="Q504" s="52">
        <v>0.0</v>
      </c>
      <c r="R504" s="52">
        <v>0.0</v>
      </c>
      <c r="S504" s="52">
        <f t="shared" si="3"/>
        <v>0</v>
      </c>
      <c r="T504" s="52">
        <f t="shared" si="4"/>
        <v>0</v>
      </c>
      <c r="U504" s="52">
        <f t="shared" si="5"/>
        <v>0</v>
      </c>
      <c r="V504" s="52">
        <f t="shared" si="6"/>
        <v>0</v>
      </c>
      <c r="W504" s="52">
        <f t="shared" si="7"/>
        <v>0</v>
      </c>
      <c r="X504" s="52">
        <f t="shared" si="8"/>
        <v>0</v>
      </c>
    </row>
    <row r="505" ht="15.0" customHeight="1">
      <c r="A505" s="51">
        <v>98.0</v>
      </c>
      <c r="B505" s="51" t="s">
        <v>61</v>
      </c>
      <c r="C505" s="51">
        <v>188.0</v>
      </c>
      <c r="D505" s="51" t="s">
        <v>16</v>
      </c>
      <c r="E505" s="51" t="s">
        <v>19</v>
      </c>
      <c r="F505" s="51" t="s">
        <v>299</v>
      </c>
      <c r="G505" s="51" t="s">
        <v>300</v>
      </c>
      <c r="H505" s="52">
        <v>72.74655444054689</v>
      </c>
      <c r="I505" s="52">
        <v>72.74246470554691</v>
      </c>
      <c r="J505" s="52">
        <v>87.78</v>
      </c>
      <c r="K505" s="52">
        <f t="shared" ref="K505:K508" si="106">IF(J505&gt;0,(I505/J505)/SUMPRODUCT($I$505:$I$508/$J$505:$J$508)*100,"")</f>
        <v>73.09472363</v>
      </c>
      <c r="L505" s="52">
        <f t="shared" si="2"/>
        <v>219.2841709</v>
      </c>
      <c r="M505" s="52">
        <v>9.1</v>
      </c>
      <c r="N505" s="52">
        <v>86.03</v>
      </c>
      <c r="O505" s="52">
        <v>14.39</v>
      </c>
      <c r="P505" s="52">
        <v>4.18</v>
      </c>
      <c r="Q505" s="52">
        <v>0.03</v>
      </c>
      <c r="R505" s="52">
        <v>0.25</v>
      </c>
      <c r="S505" s="52">
        <f t="shared" si="3"/>
        <v>6.619564288</v>
      </c>
      <c r="T505" s="52">
        <f t="shared" si="4"/>
        <v>62.58034239</v>
      </c>
      <c r="U505" s="52">
        <f t="shared" si="5"/>
        <v>10.46764067</v>
      </c>
      <c r="V505" s="52">
        <f t="shared" si="6"/>
        <v>3.040635025</v>
      </c>
      <c r="W505" s="52">
        <f t="shared" si="7"/>
        <v>0.02182273941</v>
      </c>
      <c r="X505" s="52">
        <f t="shared" si="8"/>
        <v>0.1818561618</v>
      </c>
    </row>
    <row r="506" ht="15.0" customHeight="1">
      <c r="A506" s="51">
        <v>98.0</v>
      </c>
      <c r="B506" s="51" t="s">
        <v>61</v>
      </c>
      <c r="C506" s="51">
        <v>208.0</v>
      </c>
      <c r="D506" s="51" t="s">
        <v>22</v>
      </c>
      <c r="E506" s="51" t="s">
        <v>23</v>
      </c>
      <c r="F506" s="51" t="s">
        <v>299</v>
      </c>
      <c r="G506" s="51" t="s">
        <v>300</v>
      </c>
      <c r="H506" s="52">
        <v>24.747605071326745</v>
      </c>
      <c r="I506" s="52">
        <v>24.748368331960467</v>
      </c>
      <c r="J506" s="52">
        <v>88.48</v>
      </c>
      <c r="K506" s="52">
        <f t="shared" si="106"/>
        <v>24.67147132</v>
      </c>
      <c r="L506" s="52">
        <f t="shared" si="2"/>
        <v>74.01441395</v>
      </c>
      <c r="M506" s="52">
        <v>48.76</v>
      </c>
      <c r="N506" s="52">
        <v>80.73</v>
      </c>
      <c r="O506" s="52">
        <v>15.37</v>
      </c>
      <c r="P506" s="52">
        <v>1.75</v>
      </c>
      <c r="Q506" s="52">
        <v>0.33</v>
      </c>
      <c r="R506" s="52">
        <v>0.57</v>
      </c>
      <c r="S506" s="52">
        <f t="shared" si="3"/>
        <v>12.0673044</v>
      </c>
      <c r="T506" s="52">
        <f t="shared" si="4"/>
        <v>19.97935775</v>
      </c>
      <c r="U506" s="52">
        <f t="shared" si="5"/>
        <v>3.803824213</v>
      </c>
      <c r="V506" s="52">
        <f t="shared" si="6"/>
        <v>0.4330964458</v>
      </c>
      <c r="W506" s="52">
        <f t="shared" si="7"/>
        <v>0.0816696155</v>
      </c>
      <c r="X506" s="52">
        <f t="shared" si="8"/>
        <v>0.1410656995</v>
      </c>
    </row>
    <row r="507" ht="15.0" customHeight="1">
      <c r="A507" s="51">
        <v>98.0</v>
      </c>
      <c r="B507" s="51" t="s">
        <v>61</v>
      </c>
      <c r="C507" s="51">
        <v>212.0</v>
      </c>
      <c r="D507" s="51" t="s">
        <v>24</v>
      </c>
      <c r="E507" s="51" t="s">
        <v>195</v>
      </c>
      <c r="F507" s="51" t="s">
        <v>299</v>
      </c>
      <c r="G507" s="51" t="s">
        <v>300</v>
      </c>
      <c r="H507" s="52">
        <v>1.505840488126371</v>
      </c>
      <c r="I507" s="52">
        <v>1.5091669624926352</v>
      </c>
      <c r="J507" s="52">
        <v>99.13</v>
      </c>
      <c r="K507" s="52">
        <f t="shared" si="106"/>
        <v>1.342844659</v>
      </c>
      <c r="L507" s="52">
        <f t="shared" si="2"/>
        <v>4.028533977</v>
      </c>
      <c r="M507" s="52">
        <v>0.0</v>
      </c>
      <c r="N507" s="52">
        <v>0.0</v>
      </c>
      <c r="O507" s="52">
        <v>0.0</v>
      </c>
      <c r="P507" s="52">
        <v>0.0</v>
      </c>
      <c r="Q507" s="52">
        <v>37.02</v>
      </c>
      <c r="R507" s="52">
        <v>0.03</v>
      </c>
      <c r="S507" s="52">
        <f t="shared" si="3"/>
        <v>0</v>
      </c>
      <c r="T507" s="52">
        <f t="shared" si="4"/>
        <v>0</v>
      </c>
      <c r="U507" s="52">
        <f t="shared" si="5"/>
        <v>0</v>
      </c>
      <c r="V507" s="52">
        <f t="shared" si="6"/>
        <v>0</v>
      </c>
      <c r="W507" s="52">
        <f t="shared" si="7"/>
        <v>0.5586936095</v>
      </c>
      <c r="X507" s="52">
        <f t="shared" si="8"/>
        <v>0.0004527500887</v>
      </c>
    </row>
    <row r="508" ht="15.0" customHeight="1">
      <c r="A508" s="51">
        <v>98.0</v>
      </c>
      <c r="B508" s="51" t="s">
        <v>61</v>
      </c>
      <c r="C508" s="51">
        <v>227.0</v>
      </c>
      <c r="D508" s="51" t="s">
        <v>24</v>
      </c>
      <c r="E508" s="51" t="s">
        <v>70</v>
      </c>
      <c r="F508" s="51" t="s">
        <v>299</v>
      </c>
      <c r="G508" s="51" t="s">
        <v>300</v>
      </c>
      <c r="H508" s="52">
        <v>1.0</v>
      </c>
      <c r="I508" s="52">
        <v>1.0</v>
      </c>
      <c r="J508" s="52">
        <v>99.0</v>
      </c>
      <c r="K508" s="52">
        <f t="shared" si="106"/>
        <v>0.8909603932</v>
      </c>
      <c r="L508" s="52">
        <f t="shared" si="2"/>
        <v>2.67288118</v>
      </c>
      <c r="M508" s="52">
        <v>0.0</v>
      </c>
      <c r="N508" s="52">
        <v>0.0</v>
      </c>
      <c r="O508" s="52">
        <v>0.0</v>
      </c>
      <c r="P508" s="52">
        <v>0.0</v>
      </c>
      <c r="Q508" s="52">
        <v>0.0</v>
      </c>
      <c r="R508" s="52">
        <v>0.0</v>
      </c>
      <c r="S508" s="52">
        <f t="shared" si="3"/>
        <v>0</v>
      </c>
      <c r="T508" s="52">
        <f t="shared" si="4"/>
        <v>0</v>
      </c>
      <c r="U508" s="52">
        <f t="shared" si="5"/>
        <v>0</v>
      </c>
      <c r="V508" s="52">
        <f t="shared" si="6"/>
        <v>0</v>
      </c>
      <c r="W508" s="52">
        <f t="shared" si="7"/>
        <v>0</v>
      </c>
      <c r="X508" s="52">
        <f t="shared" si="8"/>
        <v>0</v>
      </c>
    </row>
    <row r="509" ht="15.0" customHeight="1">
      <c r="A509" s="51">
        <v>99.0</v>
      </c>
      <c r="B509" s="51" t="s">
        <v>259</v>
      </c>
      <c r="C509" s="51">
        <v>168.0</v>
      </c>
      <c r="D509" s="51" t="s">
        <v>18</v>
      </c>
      <c r="E509" s="51" t="s">
        <v>20</v>
      </c>
      <c r="F509" s="51" t="s">
        <v>314</v>
      </c>
      <c r="G509" s="51" t="s">
        <v>300</v>
      </c>
      <c r="H509" s="52">
        <v>47.5</v>
      </c>
      <c r="I509" s="52">
        <v>50.0</v>
      </c>
      <c r="J509" s="52">
        <v>31.59</v>
      </c>
      <c r="K509" s="52">
        <f t="shared" ref="K509:K513" si="107">IF(J509&gt;0,(I509/J509)/SUMPRODUCT($I$509:$I$513/$J$509:$J$513)*100,"")</f>
        <v>73.69208121</v>
      </c>
      <c r="L509" s="52">
        <f t="shared" si="2"/>
        <v>221.0762436</v>
      </c>
      <c r="M509" s="52">
        <v>7.27</v>
      </c>
      <c r="N509" s="52">
        <v>63.13</v>
      </c>
      <c r="O509" s="52">
        <v>55.27</v>
      </c>
      <c r="P509" s="52">
        <v>3.13</v>
      </c>
      <c r="Q509" s="52">
        <v>0.3</v>
      </c>
      <c r="R509" s="52">
        <v>0.19</v>
      </c>
      <c r="S509" s="52">
        <f t="shared" si="3"/>
        <v>3.635</v>
      </c>
      <c r="T509" s="52">
        <f t="shared" si="4"/>
        <v>31.565</v>
      </c>
      <c r="U509" s="52">
        <f t="shared" si="5"/>
        <v>27.635</v>
      </c>
      <c r="V509" s="52">
        <f t="shared" si="6"/>
        <v>1.565</v>
      </c>
      <c r="W509" s="52">
        <f t="shared" si="7"/>
        <v>0.15</v>
      </c>
      <c r="X509" s="52">
        <f t="shared" si="8"/>
        <v>0.095</v>
      </c>
    </row>
    <row r="510" ht="15.0" customHeight="1">
      <c r="A510" s="51">
        <v>99.0</v>
      </c>
      <c r="B510" s="51" t="s">
        <v>259</v>
      </c>
      <c r="C510" s="51">
        <v>188.0</v>
      </c>
      <c r="D510" s="51" t="s">
        <v>16</v>
      </c>
      <c r="E510" s="51" t="s">
        <v>19</v>
      </c>
      <c r="F510" s="51" t="s">
        <v>299</v>
      </c>
      <c r="G510" s="51" t="s">
        <v>300</v>
      </c>
      <c r="H510" s="52">
        <v>30.663538047609762</v>
      </c>
      <c r="I510" s="52">
        <v>28.062935575281468</v>
      </c>
      <c r="J510" s="52">
        <v>87.78</v>
      </c>
      <c r="K510" s="52">
        <f t="shared" si="107"/>
        <v>14.88462736</v>
      </c>
      <c r="L510" s="52">
        <f t="shared" si="2"/>
        <v>44.65388207</v>
      </c>
      <c r="M510" s="52">
        <v>9.1</v>
      </c>
      <c r="N510" s="52">
        <v>86.03</v>
      </c>
      <c r="O510" s="52">
        <v>14.39</v>
      </c>
      <c r="P510" s="52">
        <v>4.18</v>
      </c>
      <c r="Q510" s="52">
        <v>0.03</v>
      </c>
      <c r="R510" s="52">
        <v>0.25</v>
      </c>
      <c r="S510" s="52">
        <f t="shared" si="3"/>
        <v>2.553727137</v>
      </c>
      <c r="T510" s="52">
        <f t="shared" si="4"/>
        <v>24.14254348</v>
      </c>
      <c r="U510" s="52">
        <f t="shared" si="5"/>
        <v>4.038256429</v>
      </c>
      <c r="V510" s="52">
        <f t="shared" si="6"/>
        <v>1.173030707</v>
      </c>
      <c r="W510" s="52">
        <f t="shared" si="7"/>
        <v>0.008418880673</v>
      </c>
      <c r="X510" s="52">
        <f t="shared" si="8"/>
        <v>0.07015733894</v>
      </c>
    </row>
    <row r="511" ht="15.0" customHeight="1">
      <c r="A511" s="51">
        <v>99.0</v>
      </c>
      <c r="B511" s="51" t="s">
        <v>259</v>
      </c>
      <c r="C511" s="51">
        <v>208.0</v>
      </c>
      <c r="D511" s="51" t="s">
        <v>22</v>
      </c>
      <c r="E511" s="51" t="s">
        <v>23</v>
      </c>
      <c r="F511" s="51" t="s">
        <v>299</v>
      </c>
      <c r="G511" s="51" t="s">
        <v>300</v>
      </c>
      <c r="H511" s="52">
        <v>19.756432987153815</v>
      </c>
      <c r="I511" s="52">
        <v>19.869035171283976</v>
      </c>
      <c r="J511" s="52">
        <v>88.48</v>
      </c>
      <c r="K511" s="52">
        <f t="shared" si="107"/>
        <v>10.4551943</v>
      </c>
      <c r="L511" s="52">
        <f t="shared" si="2"/>
        <v>31.3655829</v>
      </c>
      <c r="M511" s="52">
        <v>48.76</v>
      </c>
      <c r="N511" s="52">
        <v>80.73</v>
      </c>
      <c r="O511" s="52">
        <v>15.37</v>
      </c>
      <c r="P511" s="52">
        <v>1.75</v>
      </c>
      <c r="Q511" s="52">
        <v>0.33</v>
      </c>
      <c r="R511" s="52">
        <v>0.57</v>
      </c>
      <c r="S511" s="52">
        <f t="shared" si="3"/>
        <v>9.68814155</v>
      </c>
      <c r="T511" s="52">
        <f t="shared" si="4"/>
        <v>16.04027209</v>
      </c>
      <c r="U511" s="52">
        <f t="shared" si="5"/>
        <v>3.053870706</v>
      </c>
      <c r="V511" s="52">
        <f t="shared" si="6"/>
        <v>0.3477081155</v>
      </c>
      <c r="W511" s="52">
        <f t="shared" si="7"/>
        <v>0.06556781607</v>
      </c>
      <c r="X511" s="52">
        <f t="shared" si="8"/>
        <v>0.1132535005</v>
      </c>
    </row>
    <row r="512" ht="15.0" customHeight="1">
      <c r="A512" s="51">
        <v>99.0</v>
      </c>
      <c r="B512" s="51" t="s">
        <v>259</v>
      </c>
      <c r="C512" s="51">
        <v>211.0</v>
      </c>
      <c r="D512" s="51" t="s">
        <v>22</v>
      </c>
      <c r="E512" s="51" t="s">
        <v>25</v>
      </c>
      <c r="F512" s="51" t="s">
        <v>299</v>
      </c>
      <c r="G512" s="51" t="s">
        <v>300</v>
      </c>
      <c r="H512" s="52">
        <v>1.0</v>
      </c>
      <c r="I512" s="52">
        <v>1.0</v>
      </c>
      <c r="J512" s="52">
        <v>99.0</v>
      </c>
      <c r="K512" s="52">
        <f t="shared" si="107"/>
        <v>0.4702894638</v>
      </c>
      <c r="L512" s="52">
        <f t="shared" si="2"/>
        <v>1.410868391</v>
      </c>
      <c r="M512" s="52">
        <v>280.0</v>
      </c>
      <c r="N512" s="52">
        <v>0.0</v>
      </c>
      <c r="O512" s="52">
        <v>0.0</v>
      </c>
      <c r="P512" s="52">
        <v>0.0</v>
      </c>
      <c r="Q512" s="52">
        <v>0.0</v>
      </c>
      <c r="R512" s="52">
        <v>0.0</v>
      </c>
      <c r="S512" s="52">
        <f t="shared" si="3"/>
        <v>2.8</v>
      </c>
      <c r="T512" s="52">
        <f t="shared" si="4"/>
        <v>0</v>
      </c>
      <c r="U512" s="52">
        <f t="shared" si="5"/>
        <v>0</v>
      </c>
      <c r="V512" s="52">
        <f t="shared" si="6"/>
        <v>0</v>
      </c>
      <c r="W512" s="52">
        <f t="shared" si="7"/>
        <v>0</v>
      </c>
      <c r="X512" s="52">
        <f t="shared" si="8"/>
        <v>0</v>
      </c>
    </row>
    <row r="513" ht="15.0" customHeight="1">
      <c r="A513" s="51">
        <v>99.0</v>
      </c>
      <c r="B513" s="51" t="s">
        <v>259</v>
      </c>
      <c r="C513" s="51">
        <v>213.0</v>
      </c>
      <c r="D513" s="51" t="s">
        <v>24</v>
      </c>
      <c r="E513" s="51" t="s">
        <v>26</v>
      </c>
      <c r="F513" s="51" t="s">
        <v>299</v>
      </c>
      <c r="G513" s="51" t="s">
        <v>300</v>
      </c>
      <c r="H513" s="52">
        <v>1.0800289652364239</v>
      </c>
      <c r="I513" s="52">
        <v>1.0680292534345524</v>
      </c>
      <c r="J513" s="52">
        <v>99.89</v>
      </c>
      <c r="K513" s="52">
        <f t="shared" si="107"/>
        <v>0.4978076643</v>
      </c>
      <c r="L513" s="52">
        <f t="shared" si="2"/>
        <v>1.493422993</v>
      </c>
      <c r="M513" s="52">
        <v>0.0</v>
      </c>
      <c r="N513" s="52">
        <v>0.0</v>
      </c>
      <c r="O513" s="52">
        <v>0.0</v>
      </c>
      <c r="P513" s="52">
        <v>0.0</v>
      </c>
      <c r="Q513" s="52">
        <v>37.35</v>
      </c>
      <c r="R513" s="52">
        <v>0.01</v>
      </c>
      <c r="S513" s="52">
        <f t="shared" si="3"/>
        <v>0</v>
      </c>
      <c r="T513" s="52">
        <f t="shared" si="4"/>
        <v>0</v>
      </c>
      <c r="U513" s="52">
        <f t="shared" si="5"/>
        <v>0</v>
      </c>
      <c r="V513" s="52">
        <f t="shared" si="6"/>
        <v>0</v>
      </c>
      <c r="W513" s="52">
        <f t="shared" si="7"/>
        <v>0.3989089262</v>
      </c>
      <c r="X513" s="52">
        <f t="shared" si="8"/>
        <v>0.0001068029253</v>
      </c>
    </row>
    <row r="514" ht="15.0" customHeight="1">
      <c r="A514" s="51">
        <v>99.0</v>
      </c>
      <c r="B514" s="51" t="s">
        <v>266</v>
      </c>
      <c r="C514" s="51">
        <v>168.0</v>
      </c>
      <c r="D514" s="51" t="s">
        <v>18</v>
      </c>
      <c r="E514" s="51" t="s">
        <v>20</v>
      </c>
      <c r="F514" s="51" t="s">
        <v>314</v>
      </c>
      <c r="G514" s="51" t="s">
        <v>300</v>
      </c>
      <c r="H514" s="52">
        <v>47.5</v>
      </c>
      <c r="I514" s="52">
        <v>47.5</v>
      </c>
      <c r="J514" s="52">
        <v>31.59</v>
      </c>
      <c r="K514" s="52">
        <f t="shared" ref="K514:K518" si="108">IF(J514&gt;0,(I514/J514)/SUMPRODUCT($I$514:$I$518/$J$514:$J$518)*100,"")</f>
        <v>71.69911345</v>
      </c>
      <c r="L514" s="52">
        <f t="shared" si="2"/>
        <v>215.0973404</v>
      </c>
      <c r="M514" s="52">
        <v>7.27</v>
      </c>
      <c r="N514" s="52">
        <v>63.13</v>
      </c>
      <c r="O514" s="52">
        <v>55.27</v>
      </c>
      <c r="P514" s="52">
        <v>3.13</v>
      </c>
      <c r="Q514" s="52">
        <v>0.3</v>
      </c>
      <c r="R514" s="52">
        <v>0.19</v>
      </c>
      <c r="S514" s="52">
        <f t="shared" si="3"/>
        <v>3.45325</v>
      </c>
      <c r="T514" s="52">
        <f t="shared" si="4"/>
        <v>29.98675</v>
      </c>
      <c r="U514" s="52">
        <f t="shared" si="5"/>
        <v>26.25325</v>
      </c>
      <c r="V514" s="52">
        <f t="shared" si="6"/>
        <v>1.48675</v>
      </c>
      <c r="W514" s="52">
        <f t="shared" si="7"/>
        <v>0.1425</v>
      </c>
      <c r="X514" s="52">
        <f t="shared" si="8"/>
        <v>0.09025</v>
      </c>
    </row>
    <row r="515" ht="15.0" customHeight="1">
      <c r="A515" s="51">
        <v>99.0</v>
      </c>
      <c r="B515" s="51" t="s">
        <v>266</v>
      </c>
      <c r="C515" s="51">
        <v>188.0</v>
      </c>
      <c r="D515" s="51" t="s">
        <v>16</v>
      </c>
      <c r="E515" s="51" t="s">
        <v>19</v>
      </c>
      <c r="F515" s="51" t="s">
        <v>299</v>
      </c>
      <c r="G515" s="51" t="s">
        <v>300</v>
      </c>
      <c r="H515" s="52">
        <v>30.663538047609762</v>
      </c>
      <c r="I515" s="52">
        <v>30.65495722938717</v>
      </c>
      <c r="J515" s="52">
        <v>87.78</v>
      </c>
      <c r="K515" s="52">
        <f t="shared" si="108"/>
        <v>16.65232736</v>
      </c>
      <c r="L515" s="52">
        <f t="shared" si="2"/>
        <v>49.95698209</v>
      </c>
      <c r="M515" s="52">
        <v>9.1</v>
      </c>
      <c r="N515" s="52">
        <v>86.03</v>
      </c>
      <c r="O515" s="52">
        <v>14.39</v>
      </c>
      <c r="P515" s="52">
        <v>4.18</v>
      </c>
      <c r="Q515" s="52">
        <v>0.03</v>
      </c>
      <c r="R515" s="52">
        <v>0.25</v>
      </c>
      <c r="S515" s="52">
        <f t="shared" si="3"/>
        <v>2.789601108</v>
      </c>
      <c r="T515" s="52">
        <f t="shared" si="4"/>
        <v>26.3724597</v>
      </c>
      <c r="U515" s="52">
        <f t="shared" si="5"/>
        <v>4.411248345</v>
      </c>
      <c r="V515" s="52">
        <f t="shared" si="6"/>
        <v>1.281377212</v>
      </c>
      <c r="W515" s="52">
        <f t="shared" si="7"/>
        <v>0.009196487169</v>
      </c>
      <c r="X515" s="52">
        <f t="shared" si="8"/>
        <v>0.07663739307</v>
      </c>
    </row>
    <row r="516" ht="15.0" customHeight="1">
      <c r="A516" s="51">
        <v>99.0</v>
      </c>
      <c r="B516" s="51" t="s">
        <v>266</v>
      </c>
      <c r="C516" s="51">
        <v>208.0</v>
      </c>
      <c r="D516" s="51" t="s">
        <v>22</v>
      </c>
      <c r="E516" s="51" t="s">
        <v>23</v>
      </c>
      <c r="F516" s="51" t="s">
        <v>299</v>
      </c>
      <c r="G516" s="51" t="s">
        <v>300</v>
      </c>
      <c r="H516" s="52">
        <v>19.756432987153815</v>
      </c>
      <c r="I516" s="52">
        <v>19.758034411391346</v>
      </c>
      <c r="J516" s="52">
        <v>88.48</v>
      </c>
      <c r="K516" s="52">
        <f t="shared" si="108"/>
        <v>10.64800939</v>
      </c>
      <c r="L516" s="52">
        <f t="shared" si="2"/>
        <v>31.94402817</v>
      </c>
      <c r="M516" s="52">
        <v>48.76</v>
      </c>
      <c r="N516" s="52">
        <v>80.73</v>
      </c>
      <c r="O516" s="52">
        <v>15.37</v>
      </c>
      <c r="P516" s="52">
        <v>1.75</v>
      </c>
      <c r="Q516" s="52">
        <v>0.33</v>
      </c>
      <c r="R516" s="52">
        <v>0.57</v>
      </c>
      <c r="S516" s="52">
        <f t="shared" si="3"/>
        <v>9.634017579</v>
      </c>
      <c r="T516" s="52">
        <f t="shared" si="4"/>
        <v>15.95066118</v>
      </c>
      <c r="U516" s="52">
        <f t="shared" si="5"/>
        <v>3.036809889</v>
      </c>
      <c r="V516" s="52">
        <f t="shared" si="6"/>
        <v>0.3457656022</v>
      </c>
      <c r="W516" s="52">
        <f t="shared" si="7"/>
        <v>0.06520151356</v>
      </c>
      <c r="X516" s="52">
        <f t="shared" si="8"/>
        <v>0.1126207961</v>
      </c>
    </row>
    <row r="517" ht="15.0" customHeight="1">
      <c r="A517" s="51">
        <v>99.0</v>
      </c>
      <c r="B517" s="51" t="s">
        <v>266</v>
      </c>
      <c r="C517" s="51">
        <v>211.0</v>
      </c>
      <c r="D517" s="51" t="s">
        <v>22</v>
      </c>
      <c r="E517" s="51" t="s">
        <v>25</v>
      </c>
      <c r="F517" s="51" t="s">
        <v>299</v>
      </c>
      <c r="G517" s="51" t="s">
        <v>300</v>
      </c>
      <c r="H517" s="52">
        <v>1.0</v>
      </c>
      <c r="I517" s="52">
        <v>1.0</v>
      </c>
      <c r="J517" s="52">
        <v>99.0</v>
      </c>
      <c r="K517" s="52">
        <f t="shared" si="108"/>
        <v>0.4816533746</v>
      </c>
      <c r="L517" s="52">
        <f t="shared" si="2"/>
        <v>1.444960124</v>
      </c>
      <c r="M517" s="52">
        <v>280.0</v>
      </c>
      <c r="N517" s="52">
        <v>0.0</v>
      </c>
      <c r="O517" s="52">
        <v>0.0</v>
      </c>
      <c r="P517" s="52">
        <v>0.0</v>
      </c>
      <c r="Q517" s="52">
        <v>0.0</v>
      </c>
      <c r="R517" s="52">
        <v>0.0</v>
      </c>
      <c r="S517" s="52">
        <f t="shared" si="3"/>
        <v>2.8</v>
      </c>
      <c r="T517" s="52">
        <f t="shared" si="4"/>
        <v>0</v>
      </c>
      <c r="U517" s="52">
        <f t="shared" si="5"/>
        <v>0</v>
      </c>
      <c r="V517" s="52">
        <f t="shared" si="6"/>
        <v>0</v>
      </c>
      <c r="W517" s="52">
        <f t="shared" si="7"/>
        <v>0</v>
      </c>
      <c r="X517" s="52">
        <f t="shared" si="8"/>
        <v>0</v>
      </c>
    </row>
    <row r="518" ht="15.0" customHeight="1">
      <c r="A518" s="51">
        <v>99.0</v>
      </c>
      <c r="B518" s="51" t="s">
        <v>266</v>
      </c>
      <c r="C518" s="51">
        <v>213.0</v>
      </c>
      <c r="D518" s="51" t="s">
        <v>24</v>
      </c>
      <c r="E518" s="51" t="s">
        <v>26</v>
      </c>
      <c r="F518" s="51" t="s">
        <v>299</v>
      </c>
      <c r="G518" s="51" t="s">
        <v>300</v>
      </c>
      <c r="H518" s="52">
        <v>1.0800289652364239</v>
      </c>
      <c r="I518" s="52">
        <v>1.0870083592214874</v>
      </c>
      <c r="J518" s="52">
        <v>99.89</v>
      </c>
      <c r="K518" s="52">
        <f t="shared" si="108"/>
        <v>0.518896418</v>
      </c>
      <c r="L518" s="52">
        <f t="shared" si="2"/>
        <v>1.556689254</v>
      </c>
      <c r="M518" s="52">
        <v>0.0</v>
      </c>
      <c r="N518" s="52">
        <v>0.0</v>
      </c>
      <c r="O518" s="52">
        <v>0.0</v>
      </c>
      <c r="P518" s="52">
        <v>0.0</v>
      </c>
      <c r="Q518" s="52">
        <v>37.35</v>
      </c>
      <c r="R518" s="52">
        <v>0.01</v>
      </c>
      <c r="S518" s="52">
        <f t="shared" si="3"/>
        <v>0</v>
      </c>
      <c r="T518" s="52">
        <f t="shared" si="4"/>
        <v>0</v>
      </c>
      <c r="U518" s="52">
        <f t="shared" si="5"/>
        <v>0</v>
      </c>
      <c r="V518" s="52">
        <f t="shared" si="6"/>
        <v>0</v>
      </c>
      <c r="W518" s="52">
        <f t="shared" si="7"/>
        <v>0.4059976222</v>
      </c>
      <c r="X518" s="52">
        <f t="shared" si="8"/>
        <v>0.0001087008359</v>
      </c>
    </row>
    <row r="519" ht="15.0" customHeight="1">
      <c r="A519" s="51">
        <v>100.0</v>
      </c>
      <c r="B519" s="51" t="s">
        <v>259</v>
      </c>
      <c r="C519" s="51">
        <v>168.0</v>
      </c>
      <c r="D519" s="51" t="s">
        <v>18</v>
      </c>
      <c r="E519" s="51" t="s">
        <v>20</v>
      </c>
      <c r="F519" s="51" t="s">
        <v>314</v>
      </c>
      <c r="G519" s="51" t="s">
        <v>300</v>
      </c>
      <c r="H519" s="52">
        <v>47.5</v>
      </c>
      <c r="I519" s="52">
        <v>50.0</v>
      </c>
      <c r="J519" s="52">
        <v>31.59</v>
      </c>
      <c r="K519" s="52">
        <f t="shared" ref="K519:K523" si="109">IF(J519&gt;0,(I519/J519)/SUMPRODUCT($I$519:$I$523/$J$519:$J$523)*100,"")</f>
        <v>73.68972268</v>
      </c>
      <c r="L519" s="52">
        <f t="shared" si="2"/>
        <v>221.069168</v>
      </c>
      <c r="M519" s="52">
        <v>7.27</v>
      </c>
      <c r="N519" s="52">
        <v>63.13</v>
      </c>
      <c r="O519" s="52">
        <v>55.27</v>
      </c>
      <c r="P519" s="52">
        <v>3.13</v>
      </c>
      <c r="Q519" s="52">
        <v>0.3</v>
      </c>
      <c r="R519" s="52">
        <v>0.19</v>
      </c>
      <c r="S519" s="52">
        <f t="shared" si="3"/>
        <v>3.635</v>
      </c>
      <c r="T519" s="52">
        <f t="shared" si="4"/>
        <v>31.565</v>
      </c>
      <c r="U519" s="52">
        <f t="shared" si="5"/>
        <v>27.635</v>
      </c>
      <c r="V519" s="52">
        <f t="shared" si="6"/>
        <v>1.565</v>
      </c>
      <c r="W519" s="52">
        <f t="shared" si="7"/>
        <v>0.15</v>
      </c>
      <c r="X519" s="52">
        <f t="shared" si="8"/>
        <v>0.095</v>
      </c>
    </row>
    <row r="520" ht="15.0" customHeight="1">
      <c r="A520" s="51">
        <v>100.0</v>
      </c>
      <c r="B520" s="51" t="s">
        <v>259</v>
      </c>
      <c r="C520" s="51">
        <v>188.0</v>
      </c>
      <c r="D520" s="51" t="s">
        <v>16</v>
      </c>
      <c r="E520" s="51" t="s">
        <v>19</v>
      </c>
      <c r="F520" s="51" t="s">
        <v>299</v>
      </c>
      <c r="G520" s="51" t="s">
        <v>300</v>
      </c>
      <c r="H520" s="52">
        <v>30.643751229504833</v>
      </c>
      <c r="I520" s="52">
        <v>28.043426021508772</v>
      </c>
      <c r="J520" s="52">
        <v>87.78</v>
      </c>
      <c r="K520" s="52">
        <f t="shared" si="109"/>
        <v>14.8738034</v>
      </c>
      <c r="L520" s="52">
        <f t="shared" si="2"/>
        <v>44.6214102</v>
      </c>
      <c r="M520" s="52">
        <v>9.1</v>
      </c>
      <c r="N520" s="52">
        <v>86.03</v>
      </c>
      <c r="O520" s="52">
        <v>14.39</v>
      </c>
      <c r="P520" s="52">
        <v>4.18</v>
      </c>
      <c r="Q520" s="52">
        <v>0.03</v>
      </c>
      <c r="R520" s="52">
        <v>0.25</v>
      </c>
      <c r="S520" s="52">
        <f t="shared" si="3"/>
        <v>2.551951768</v>
      </c>
      <c r="T520" s="52">
        <f t="shared" si="4"/>
        <v>24.12575941</v>
      </c>
      <c r="U520" s="52">
        <f t="shared" si="5"/>
        <v>4.035449004</v>
      </c>
      <c r="V520" s="52">
        <f t="shared" si="6"/>
        <v>1.172215208</v>
      </c>
      <c r="W520" s="52">
        <f t="shared" si="7"/>
        <v>0.008413027806</v>
      </c>
      <c r="X520" s="52">
        <f t="shared" si="8"/>
        <v>0.07010856505</v>
      </c>
    </row>
    <row r="521" ht="15.0" customHeight="1">
      <c r="A521" s="51">
        <v>100.0</v>
      </c>
      <c r="B521" s="51" t="s">
        <v>259</v>
      </c>
      <c r="C521" s="51">
        <v>208.0</v>
      </c>
      <c r="D521" s="51" t="s">
        <v>22</v>
      </c>
      <c r="E521" s="51" t="s">
        <v>23</v>
      </c>
      <c r="F521" s="51" t="s">
        <v>299</v>
      </c>
      <c r="G521" s="51" t="s">
        <v>300</v>
      </c>
      <c r="H521" s="52">
        <v>19.76654765815228</v>
      </c>
      <c r="I521" s="52">
        <v>19.87909809688822</v>
      </c>
      <c r="J521" s="52">
        <v>88.48</v>
      </c>
      <c r="K521" s="52">
        <f t="shared" si="109"/>
        <v>10.46015468</v>
      </c>
      <c r="L521" s="52">
        <f t="shared" si="2"/>
        <v>31.38046403</v>
      </c>
      <c r="M521" s="52">
        <v>48.76</v>
      </c>
      <c r="N521" s="52">
        <v>80.73</v>
      </c>
      <c r="O521" s="52">
        <v>15.37</v>
      </c>
      <c r="P521" s="52">
        <v>1.75</v>
      </c>
      <c r="Q521" s="52">
        <v>0.33</v>
      </c>
      <c r="R521" s="52">
        <v>0.57</v>
      </c>
      <c r="S521" s="52">
        <f t="shared" si="3"/>
        <v>9.693048232</v>
      </c>
      <c r="T521" s="52">
        <f t="shared" si="4"/>
        <v>16.04839589</v>
      </c>
      <c r="U521" s="52">
        <f t="shared" si="5"/>
        <v>3.055417377</v>
      </c>
      <c r="V521" s="52">
        <f t="shared" si="6"/>
        <v>0.3478842167</v>
      </c>
      <c r="W521" s="52">
        <f t="shared" si="7"/>
        <v>0.06560102372</v>
      </c>
      <c r="X521" s="52">
        <f t="shared" si="8"/>
        <v>0.1133108592</v>
      </c>
    </row>
    <row r="522" ht="15.0" customHeight="1">
      <c r="A522" s="51">
        <v>100.0</v>
      </c>
      <c r="B522" s="51" t="s">
        <v>259</v>
      </c>
      <c r="C522" s="51">
        <v>212.0</v>
      </c>
      <c r="D522" s="51" t="s">
        <v>24</v>
      </c>
      <c r="E522" s="51" t="s">
        <v>195</v>
      </c>
      <c r="F522" s="51" t="s">
        <v>299</v>
      </c>
      <c r="G522" s="51" t="s">
        <v>300</v>
      </c>
      <c r="H522" s="52">
        <v>1.0897011123428868</v>
      </c>
      <c r="I522" s="52">
        <v>1.0774758816030061</v>
      </c>
      <c r="J522" s="52">
        <v>99.13</v>
      </c>
      <c r="K522" s="52">
        <f t="shared" si="109"/>
        <v>0.5060448333</v>
      </c>
      <c r="L522" s="52">
        <f t="shared" si="2"/>
        <v>1.5181345</v>
      </c>
      <c r="M522" s="52">
        <v>0.0</v>
      </c>
      <c r="N522" s="52">
        <v>0.0</v>
      </c>
      <c r="O522" s="52">
        <v>0.0</v>
      </c>
      <c r="P522" s="52">
        <v>0.0</v>
      </c>
      <c r="Q522" s="52">
        <v>37.02</v>
      </c>
      <c r="R522" s="52">
        <v>0.03</v>
      </c>
      <c r="S522" s="52">
        <f t="shared" si="3"/>
        <v>0</v>
      </c>
      <c r="T522" s="52">
        <f t="shared" si="4"/>
        <v>0</v>
      </c>
      <c r="U522" s="52">
        <f t="shared" si="5"/>
        <v>0</v>
      </c>
      <c r="V522" s="52">
        <f t="shared" si="6"/>
        <v>0</v>
      </c>
      <c r="W522" s="52">
        <f t="shared" si="7"/>
        <v>0.3988815714</v>
      </c>
      <c r="X522" s="52">
        <f t="shared" si="8"/>
        <v>0.0003232427645</v>
      </c>
    </row>
    <row r="523" ht="15.0" customHeight="1">
      <c r="A523" s="51">
        <v>100.0</v>
      </c>
      <c r="B523" s="51" t="s">
        <v>259</v>
      </c>
      <c r="C523" s="51">
        <v>211.0</v>
      </c>
      <c r="D523" s="51" t="s">
        <v>22</v>
      </c>
      <c r="E523" s="51" t="s">
        <v>25</v>
      </c>
      <c r="F523" s="51" t="s">
        <v>299</v>
      </c>
      <c r="G523" s="51" t="s">
        <v>300</v>
      </c>
      <c r="H523" s="52">
        <v>1.0</v>
      </c>
      <c r="I523" s="52">
        <v>1.0</v>
      </c>
      <c r="J523" s="52">
        <v>99.0</v>
      </c>
      <c r="K523" s="52">
        <f t="shared" si="109"/>
        <v>0.470274412</v>
      </c>
      <c r="L523" s="52">
        <f t="shared" si="2"/>
        <v>1.410823236</v>
      </c>
      <c r="M523" s="52">
        <v>280.0</v>
      </c>
      <c r="N523" s="52">
        <v>0.0</v>
      </c>
      <c r="O523" s="52">
        <v>0.0</v>
      </c>
      <c r="P523" s="52">
        <v>0.0</v>
      </c>
      <c r="Q523" s="52">
        <v>0.0</v>
      </c>
      <c r="R523" s="52">
        <v>0.0</v>
      </c>
      <c r="S523" s="52">
        <f t="shared" si="3"/>
        <v>2.8</v>
      </c>
      <c r="T523" s="52">
        <f t="shared" si="4"/>
        <v>0</v>
      </c>
      <c r="U523" s="52">
        <f t="shared" si="5"/>
        <v>0</v>
      </c>
      <c r="V523" s="52">
        <f t="shared" si="6"/>
        <v>0</v>
      </c>
      <c r="W523" s="52">
        <f t="shared" si="7"/>
        <v>0</v>
      </c>
      <c r="X523" s="52">
        <f t="shared" si="8"/>
        <v>0</v>
      </c>
    </row>
    <row r="524" ht="15.0" customHeight="1">
      <c r="A524" s="51">
        <v>100.0</v>
      </c>
      <c r="B524" s="51" t="s">
        <v>266</v>
      </c>
      <c r="C524" s="51">
        <v>168.0</v>
      </c>
      <c r="D524" s="51" t="s">
        <v>18</v>
      </c>
      <c r="E524" s="51" t="s">
        <v>20</v>
      </c>
      <c r="F524" s="51" t="s">
        <v>314</v>
      </c>
      <c r="G524" s="51" t="s">
        <v>300</v>
      </c>
      <c r="H524" s="52">
        <v>47.5</v>
      </c>
      <c r="I524" s="52">
        <v>47.5</v>
      </c>
      <c r="J524" s="52">
        <v>31.59</v>
      </c>
      <c r="K524" s="52">
        <f t="shared" ref="K524:K528" si="110">IF(J524&gt;0,(I524/J524)/SUMPRODUCT($I$524:$I$528/$J$524:$J$528)*100,"")</f>
        <v>71.69672111</v>
      </c>
      <c r="L524" s="52">
        <f t="shared" si="2"/>
        <v>215.0901633</v>
      </c>
      <c r="M524" s="52">
        <v>7.27</v>
      </c>
      <c r="N524" s="52">
        <v>63.13</v>
      </c>
      <c r="O524" s="52">
        <v>55.27</v>
      </c>
      <c r="P524" s="52">
        <v>3.13</v>
      </c>
      <c r="Q524" s="52">
        <v>0.3</v>
      </c>
      <c r="R524" s="52">
        <v>0.19</v>
      </c>
      <c r="S524" s="52">
        <f t="shared" si="3"/>
        <v>3.45325</v>
      </c>
      <c r="T524" s="52">
        <f t="shared" si="4"/>
        <v>29.98675</v>
      </c>
      <c r="U524" s="52">
        <f t="shared" si="5"/>
        <v>26.25325</v>
      </c>
      <c r="V524" s="52">
        <f t="shared" si="6"/>
        <v>1.48675</v>
      </c>
      <c r="W524" s="52">
        <f t="shared" si="7"/>
        <v>0.1425</v>
      </c>
      <c r="X524" s="52">
        <f t="shared" si="8"/>
        <v>0.09025</v>
      </c>
    </row>
    <row r="525" ht="15.0" customHeight="1">
      <c r="A525" s="51">
        <v>100.0</v>
      </c>
      <c r="B525" s="51" t="s">
        <v>266</v>
      </c>
      <c r="C525" s="51">
        <v>188.0</v>
      </c>
      <c r="D525" s="51" t="s">
        <v>16</v>
      </c>
      <c r="E525" s="51" t="s">
        <v>19</v>
      </c>
      <c r="F525" s="51" t="s">
        <v>299</v>
      </c>
      <c r="G525" s="51" t="s">
        <v>300</v>
      </c>
      <c r="H525" s="52">
        <v>30.643751229504833</v>
      </c>
      <c r="I525" s="52">
        <v>30.63523989314182</v>
      </c>
      <c r="J525" s="52">
        <v>87.78</v>
      </c>
      <c r="K525" s="52">
        <f t="shared" si="110"/>
        <v>16.64106128</v>
      </c>
      <c r="L525" s="52">
        <f t="shared" si="2"/>
        <v>49.92318384</v>
      </c>
      <c r="M525" s="52">
        <v>9.1</v>
      </c>
      <c r="N525" s="52">
        <v>86.03</v>
      </c>
      <c r="O525" s="52">
        <v>14.39</v>
      </c>
      <c r="P525" s="52">
        <v>4.18</v>
      </c>
      <c r="Q525" s="52">
        <v>0.03</v>
      </c>
      <c r="R525" s="52">
        <v>0.25</v>
      </c>
      <c r="S525" s="52">
        <f t="shared" si="3"/>
        <v>2.78780683</v>
      </c>
      <c r="T525" s="52">
        <f t="shared" si="4"/>
        <v>26.35549688</v>
      </c>
      <c r="U525" s="52">
        <f t="shared" si="5"/>
        <v>4.408411021</v>
      </c>
      <c r="V525" s="52">
        <f t="shared" si="6"/>
        <v>1.280553028</v>
      </c>
      <c r="W525" s="52">
        <f t="shared" si="7"/>
        <v>0.009190571968</v>
      </c>
      <c r="X525" s="52">
        <f t="shared" si="8"/>
        <v>0.07658809973</v>
      </c>
    </row>
    <row r="526" ht="15.0" customHeight="1">
      <c r="A526" s="51">
        <v>100.0</v>
      </c>
      <c r="B526" s="51" t="s">
        <v>266</v>
      </c>
      <c r="C526" s="51">
        <v>208.0</v>
      </c>
      <c r="D526" s="51" t="s">
        <v>22</v>
      </c>
      <c r="E526" s="51" t="s">
        <v>23</v>
      </c>
      <c r="F526" s="51" t="s">
        <v>299</v>
      </c>
      <c r="G526" s="51" t="s">
        <v>300</v>
      </c>
      <c r="H526" s="52">
        <v>19.76654765815228</v>
      </c>
      <c r="I526" s="52">
        <v>19.768136115102763</v>
      </c>
      <c r="J526" s="52">
        <v>88.48</v>
      </c>
      <c r="K526" s="52">
        <f t="shared" si="110"/>
        <v>10.65309794</v>
      </c>
      <c r="L526" s="52">
        <f t="shared" si="2"/>
        <v>31.95929382</v>
      </c>
      <c r="M526" s="52">
        <v>48.76</v>
      </c>
      <c r="N526" s="52">
        <v>80.73</v>
      </c>
      <c r="O526" s="52">
        <v>15.37</v>
      </c>
      <c r="P526" s="52">
        <v>1.75</v>
      </c>
      <c r="Q526" s="52">
        <v>0.33</v>
      </c>
      <c r="R526" s="52">
        <v>0.57</v>
      </c>
      <c r="S526" s="52">
        <f t="shared" si="3"/>
        <v>9.63894317</v>
      </c>
      <c r="T526" s="52">
        <f t="shared" si="4"/>
        <v>15.95881629</v>
      </c>
      <c r="U526" s="52">
        <f t="shared" si="5"/>
        <v>3.038362521</v>
      </c>
      <c r="V526" s="52">
        <f t="shared" si="6"/>
        <v>0.345942382</v>
      </c>
      <c r="W526" s="52">
        <f t="shared" si="7"/>
        <v>0.06523484918</v>
      </c>
      <c r="X526" s="52">
        <f t="shared" si="8"/>
        <v>0.1126783759</v>
      </c>
    </row>
    <row r="527" ht="15.0" customHeight="1">
      <c r="A527" s="51">
        <v>100.0</v>
      </c>
      <c r="B527" s="51" t="s">
        <v>266</v>
      </c>
      <c r="C527" s="51">
        <v>212.0</v>
      </c>
      <c r="D527" s="51" t="s">
        <v>24</v>
      </c>
      <c r="E527" s="51" t="s">
        <v>195</v>
      </c>
      <c r="F527" s="51" t="s">
        <v>299</v>
      </c>
      <c r="G527" s="51" t="s">
        <v>300</v>
      </c>
      <c r="H527" s="52">
        <v>1.0897011123428868</v>
      </c>
      <c r="I527" s="52">
        <v>1.0966239917554241</v>
      </c>
      <c r="J527" s="52">
        <v>99.13</v>
      </c>
      <c r="K527" s="52">
        <f t="shared" si="110"/>
        <v>0.5274823688</v>
      </c>
      <c r="L527" s="52">
        <f t="shared" si="2"/>
        <v>1.582447106</v>
      </c>
      <c r="M527" s="52">
        <v>0.0</v>
      </c>
      <c r="N527" s="52">
        <v>0.0</v>
      </c>
      <c r="O527" s="52">
        <v>0.0</v>
      </c>
      <c r="P527" s="52">
        <v>0.0</v>
      </c>
      <c r="Q527" s="52">
        <v>37.02</v>
      </c>
      <c r="R527" s="52">
        <v>0.03</v>
      </c>
      <c r="S527" s="52">
        <f t="shared" si="3"/>
        <v>0</v>
      </c>
      <c r="T527" s="52">
        <f t="shared" si="4"/>
        <v>0</v>
      </c>
      <c r="U527" s="52">
        <f t="shared" si="5"/>
        <v>0</v>
      </c>
      <c r="V527" s="52">
        <f t="shared" si="6"/>
        <v>0</v>
      </c>
      <c r="W527" s="52">
        <f t="shared" si="7"/>
        <v>0.4059702017</v>
      </c>
      <c r="X527" s="52">
        <f t="shared" si="8"/>
        <v>0.0003289871975</v>
      </c>
    </row>
    <row r="528" ht="15.0" customHeight="1">
      <c r="A528" s="51">
        <v>100.0</v>
      </c>
      <c r="B528" s="51" t="s">
        <v>266</v>
      </c>
      <c r="C528" s="51">
        <v>211.0</v>
      </c>
      <c r="D528" s="51" t="s">
        <v>22</v>
      </c>
      <c r="E528" s="51" t="s">
        <v>25</v>
      </c>
      <c r="F528" s="51" t="s">
        <v>299</v>
      </c>
      <c r="G528" s="51" t="s">
        <v>300</v>
      </c>
      <c r="H528" s="52">
        <v>1.0</v>
      </c>
      <c r="I528" s="52">
        <v>1.0</v>
      </c>
      <c r="J528" s="52">
        <v>99.0</v>
      </c>
      <c r="K528" s="52">
        <f t="shared" si="110"/>
        <v>0.4816373035</v>
      </c>
      <c r="L528" s="52">
        <f t="shared" si="2"/>
        <v>1.444911911</v>
      </c>
      <c r="M528" s="52">
        <v>280.0</v>
      </c>
      <c r="N528" s="52">
        <v>0.0</v>
      </c>
      <c r="O528" s="52">
        <v>0.0</v>
      </c>
      <c r="P528" s="52">
        <v>0.0</v>
      </c>
      <c r="Q528" s="52">
        <v>0.0</v>
      </c>
      <c r="R528" s="52">
        <v>0.0</v>
      </c>
      <c r="S528" s="52">
        <f t="shared" si="3"/>
        <v>2.8</v>
      </c>
      <c r="T528" s="52">
        <f t="shared" si="4"/>
        <v>0</v>
      </c>
      <c r="U528" s="52">
        <f t="shared" si="5"/>
        <v>0</v>
      </c>
      <c r="V528" s="52">
        <f t="shared" si="6"/>
        <v>0</v>
      </c>
      <c r="W528" s="52">
        <f t="shared" si="7"/>
        <v>0</v>
      </c>
      <c r="X528" s="52">
        <f t="shared" si="8"/>
        <v>0</v>
      </c>
    </row>
    <row r="529" ht="15.0" customHeight="1">
      <c r="A529" s="51">
        <v>101.0</v>
      </c>
      <c r="B529" s="51" t="s">
        <v>61</v>
      </c>
      <c r="C529" s="51">
        <v>192.0</v>
      </c>
      <c r="D529" s="51" t="s">
        <v>16</v>
      </c>
      <c r="E529" s="51" t="s">
        <v>17</v>
      </c>
      <c r="F529" s="51" t="s">
        <v>299</v>
      </c>
      <c r="G529" s="51" t="s">
        <v>300</v>
      </c>
      <c r="H529" s="52">
        <v>9.12</v>
      </c>
      <c r="I529" s="52">
        <v>9.12</v>
      </c>
      <c r="J529" s="52">
        <v>88.05</v>
      </c>
      <c r="K529" s="52">
        <f t="shared" ref="K529:K532" si="111">IF(J529&gt;0,(I529/J529)/SUMPRODUCT($I$529:$I$532/$J$529:$J$532)*100,"")</f>
        <v>9.131621776</v>
      </c>
      <c r="L529" s="52">
        <f t="shared" si="2"/>
        <v>27.39486533</v>
      </c>
      <c r="M529" s="52">
        <v>17.12</v>
      </c>
      <c r="N529" s="52">
        <v>71.35</v>
      </c>
      <c r="O529" s="52">
        <v>43.96</v>
      </c>
      <c r="P529" s="52">
        <v>3.58</v>
      </c>
      <c r="Q529" s="52">
        <v>0.19</v>
      </c>
      <c r="R529" s="52">
        <v>0.95</v>
      </c>
      <c r="S529" s="52">
        <f t="shared" si="3"/>
        <v>1.561344</v>
      </c>
      <c r="T529" s="52">
        <f t="shared" si="4"/>
        <v>6.50712</v>
      </c>
      <c r="U529" s="52">
        <f t="shared" si="5"/>
        <v>4.009152</v>
      </c>
      <c r="V529" s="52">
        <f t="shared" si="6"/>
        <v>0.326496</v>
      </c>
      <c r="W529" s="52">
        <f t="shared" si="7"/>
        <v>0.017328</v>
      </c>
      <c r="X529" s="52">
        <f t="shared" si="8"/>
        <v>0.08664</v>
      </c>
    </row>
    <row r="530" ht="15.0" customHeight="1">
      <c r="A530" s="51">
        <v>101.0</v>
      </c>
      <c r="B530" s="51" t="s">
        <v>61</v>
      </c>
      <c r="C530" s="51">
        <v>188.0</v>
      </c>
      <c r="D530" s="51" t="s">
        <v>16</v>
      </c>
      <c r="E530" s="51" t="s">
        <v>19</v>
      </c>
      <c r="F530" s="51" t="s">
        <v>299</v>
      </c>
      <c r="G530" s="51" t="s">
        <v>300</v>
      </c>
      <c r="H530" s="52">
        <v>66.26</v>
      </c>
      <c r="I530" s="52">
        <v>66.26</v>
      </c>
      <c r="J530" s="52">
        <v>87.78</v>
      </c>
      <c r="K530" s="52">
        <f t="shared" si="111"/>
        <v>66.54850324</v>
      </c>
      <c r="L530" s="52">
        <f t="shared" si="2"/>
        <v>199.6455097</v>
      </c>
      <c r="M530" s="52">
        <v>9.1</v>
      </c>
      <c r="N530" s="52">
        <v>86.03</v>
      </c>
      <c r="O530" s="52">
        <v>14.39</v>
      </c>
      <c r="P530" s="52">
        <v>4.18</v>
      </c>
      <c r="Q530" s="52">
        <v>0.03</v>
      </c>
      <c r="R530" s="52">
        <v>0.25</v>
      </c>
      <c r="S530" s="52">
        <f t="shared" si="3"/>
        <v>6.02966</v>
      </c>
      <c r="T530" s="52">
        <f t="shared" si="4"/>
        <v>57.003478</v>
      </c>
      <c r="U530" s="52">
        <f t="shared" si="5"/>
        <v>9.534814</v>
      </c>
      <c r="V530" s="52">
        <f t="shared" si="6"/>
        <v>2.769668</v>
      </c>
      <c r="W530" s="52">
        <f t="shared" si="7"/>
        <v>0.019878</v>
      </c>
      <c r="X530" s="52">
        <f t="shared" si="8"/>
        <v>0.16565</v>
      </c>
    </row>
    <row r="531" ht="15.0" customHeight="1">
      <c r="A531" s="51">
        <v>101.0</v>
      </c>
      <c r="B531" s="51" t="s">
        <v>61</v>
      </c>
      <c r="C531" s="51">
        <v>208.0</v>
      </c>
      <c r="D531" s="51" t="s">
        <v>22</v>
      </c>
      <c r="E531" s="51" t="s">
        <v>23</v>
      </c>
      <c r="F531" s="51" t="s">
        <v>299</v>
      </c>
      <c r="G531" s="51" t="s">
        <v>300</v>
      </c>
      <c r="H531" s="52">
        <v>22.76</v>
      </c>
      <c r="I531" s="52">
        <v>22.76</v>
      </c>
      <c r="J531" s="52">
        <v>88.48</v>
      </c>
      <c r="K531" s="52">
        <f t="shared" si="111"/>
        <v>22.67825221</v>
      </c>
      <c r="L531" s="52">
        <f t="shared" si="2"/>
        <v>68.03475662</v>
      </c>
      <c r="M531" s="52">
        <v>48.76</v>
      </c>
      <c r="N531" s="52">
        <v>80.73</v>
      </c>
      <c r="O531" s="52">
        <v>15.37</v>
      </c>
      <c r="P531" s="52">
        <v>1.75</v>
      </c>
      <c r="Q531" s="52">
        <v>0.33</v>
      </c>
      <c r="R531" s="52">
        <v>0.57</v>
      </c>
      <c r="S531" s="52">
        <f t="shared" si="3"/>
        <v>11.097776</v>
      </c>
      <c r="T531" s="52">
        <f t="shared" si="4"/>
        <v>18.374148</v>
      </c>
      <c r="U531" s="52">
        <f t="shared" si="5"/>
        <v>3.498212</v>
      </c>
      <c r="V531" s="52">
        <f t="shared" si="6"/>
        <v>0.3983</v>
      </c>
      <c r="W531" s="52">
        <f t="shared" si="7"/>
        <v>0.075108</v>
      </c>
      <c r="X531" s="52">
        <f t="shared" si="8"/>
        <v>0.129732</v>
      </c>
    </row>
    <row r="532" ht="15.0" customHeight="1">
      <c r="A532" s="51">
        <v>101.0</v>
      </c>
      <c r="B532" s="51" t="s">
        <v>61</v>
      </c>
      <c r="C532" s="51">
        <v>213.0</v>
      </c>
      <c r="D532" s="51" t="s">
        <v>24</v>
      </c>
      <c r="E532" s="51" t="s">
        <v>26</v>
      </c>
      <c r="F532" s="51" t="s">
        <v>299</v>
      </c>
      <c r="G532" s="51" t="s">
        <v>300</v>
      </c>
      <c r="H532" s="52">
        <v>1.86</v>
      </c>
      <c r="I532" s="52">
        <v>1.86</v>
      </c>
      <c r="J532" s="52">
        <v>99.89</v>
      </c>
      <c r="K532" s="52">
        <f t="shared" si="111"/>
        <v>1.641622773</v>
      </c>
      <c r="L532" s="52">
        <f t="shared" si="2"/>
        <v>4.924868319</v>
      </c>
      <c r="M532" s="52">
        <v>0.0</v>
      </c>
      <c r="N532" s="52">
        <v>0.0</v>
      </c>
      <c r="O532" s="52">
        <v>0.0</v>
      </c>
      <c r="P532" s="52">
        <v>0.0</v>
      </c>
      <c r="Q532" s="52">
        <v>37.35</v>
      </c>
      <c r="R532" s="52">
        <v>0.01</v>
      </c>
      <c r="S532" s="52">
        <f t="shared" si="3"/>
        <v>0</v>
      </c>
      <c r="T532" s="52">
        <f t="shared" si="4"/>
        <v>0</v>
      </c>
      <c r="U532" s="52">
        <f t="shared" si="5"/>
        <v>0</v>
      </c>
      <c r="V532" s="52">
        <f t="shared" si="6"/>
        <v>0</v>
      </c>
      <c r="W532" s="52">
        <f t="shared" si="7"/>
        <v>0.69471</v>
      </c>
      <c r="X532" s="52">
        <f t="shared" si="8"/>
        <v>0.000186</v>
      </c>
    </row>
    <row r="533" ht="15.0" customHeight="1">
      <c r="A533" s="51">
        <v>102.0</v>
      </c>
      <c r="B533" s="51" t="s">
        <v>61</v>
      </c>
      <c r="C533" s="51">
        <v>188.0</v>
      </c>
      <c r="D533" s="51" t="s">
        <v>16</v>
      </c>
      <c r="E533" s="51" t="s">
        <v>19</v>
      </c>
      <c r="F533" s="51" t="s">
        <v>299</v>
      </c>
      <c r="G533" s="51" t="s">
        <v>300</v>
      </c>
      <c r="H533" s="52">
        <v>49.2</v>
      </c>
      <c r="I533" s="52">
        <v>49.2</v>
      </c>
      <c r="J533" s="52">
        <v>87.78</v>
      </c>
      <c r="K533" s="52">
        <f t="shared" ref="K533:K536" si="112">IF(J533&gt;0,(I533/J533)/SUMPRODUCT($I$533:$I$536/$J$533:$J$536)*100,"")</f>
        <v>49.96938673</v>
      </c>
      <c r="L533" s="52">
        <f t="shared" si="2"/>
        <v>149.9081602</v>
      </c>
      <c r="M533" s="52">
        <v>9.1</v>
      </c>
      <c r="N533" s="52">
        <v>86.03</v>
      </c>
      <c r="O533" s="52">
        <v>14.39</v>
      </c>
      <c r="P533" s="52">
        <v>4.18</v>
      </c>
      <c r="Q533" s="52">
        <v>0.03</v>
      </c>
      <c r="R533" s="52">
        <v>0.25</v>
      </c>
      <c r="S533" s="52">
        <f t="shared" si="3"/>
        <v>4.4772</v>
      </c>
      <c r="T533" s="52">
        <f t="shared" si="4"/>
        <v>42.32676</v>
      </c>
      <c r="U533" s="52">
        <f t="shared" si="5"/>
        <v>7.07988</v>
      </c>
      <c r="V533" s="52">
        <f t="shared" si="6"/>
        <v>2.05656</v>
      </c>
      <c r="W533" s="52">
        <f t="shared" si="7"/>
        <v>0.01476</v>
      </c>
      <c r="X533" s="52">
        <f t="shared" si="8"/>
        <v>0.123</v>
      </c>
    </row>
    <row r="534" ht="15.0" customHeight="1">
      <c r="A534" s="51">
        <v>102.0</v>
      </c>
      <c r="B534" s="51" t="s">
        <v>61</v>
      </c>
      <c r="C534" s="51">
        <v>173.0</v>
      </c>
      <c r="D534" s="51" t="s">
        <v>16</v>
      </c>
      <c r="E534" s="51" t="s">
        <v>52</v>
      </c>
      <c r="F534" s="51" t="s">
        <v>299</v>
      </c>
      <c r="G534" s="51" t="s">
        <v>300</v>
      </c>
      <c r="H534" s="52">
        <v>41.83</v>
      </c>
      <c r="I534" s="52">
        <v>41.83</v>
      </c>
      <c r="J534" s="52">
        <v>90.57</v>
      </c>
      <c r="K534" s="52">
        <f t="shared" si="112"/>
        <v>41.17541547</v>
      </c>
      <c r="L534" s="52">
        <f t="shared" si="2"/>
        <v>123.5262464</v>
      </c>
      <c r="M534" s="52">
        <v>14.21</v>
      </c>
      <c r="N534" s="52">
        <v>75.24</v>
      </c>
      <c r="O534" s="52">
        <v>27.69</v>
      </c>
      <c r="P534" s="52">
        <v>5.13</v>
      </c>
      <c r="Q534" s="52">
        <v>0.13</v>
      </c>
      <c r="R534" s="52">
        <v>0.35</v>
      </c>
      <c r="S534" s="52">
        <f t="shared" si="3"/>
        <v>5.944043</v>
      </c>
      <c r="T534" s="52">
        <f t="shared" si="4"/>
        <v>31.472892</v>
      </c>
      <c r="U534" s="52">
        <f t="shared" si="5"/>
        <v>11.582727</v>
      </c>
      <c r="V534" s="52">
        <f t="shared" si="6"/>
        <v>2.145879</v>
      </c>
      <c r="W534" s="52">
        <f t="shared" si="7"/>
        <v>0.054379</v>
      </c>
      <c r="X534" s="52">
        <f t="shared" si="8"/>
        <v>0.146405</v>
      </c>
    </row>
    <row r="535" ht="15.0" customHeight="1">
      <c r="A535" s="51">
        <v>102.0</v>
      </c>
      <c r="B535" s="51" t="s">
        <v>61</v>
      </c>
      <c r="C535" s="51">
        <v>208.0</v>
      </c>
      <c r="D535" s="51" t="s">
        <v>22</v>
      </c>
      <c r="E535" s="51" t="s">
        <v>23</v>
      </c>
      <c r="F535" s="51" t="s">
        <v>299</v>
      </c>
      <c r="G535" s="51" t="s">
        <v>300</v>
      </c>
      <c r="H535" s="52">
        <v>7.380000000000001</v>
      </c>
      <c r="I535" s="52">
        <v>7.380000000000001</v>
      </c>
      <c r="J535" s="52">
        <v>88.48</v>
      </c>
      <c r="K535" s="52">
        <f t="shared" si="112"/>
        <v>7.436108896</v>
      </c>
      <c r="L535" s="52">
        <f t="shared" si="2"/>
        <v>22.30832669</v>
      </c>
      <c r="M535" s="52">
        <v>48.76</v>
      </c>
      <c r="N535" s="52">
        <v>80.73</v>
      </c>
      <c r="O535" s="52">
        <v>15.37</v>
      </c>
      <c r="P535" s="52">
        <v>1.75</v>
      </c>
      <c r="Q535" s="52">
        <v>0.33</v>
      </c>
      <c r="R535" s="52">
        <v>0.57</v>
      </c>
      <c r="S535" s="52">
        <f t="shared" si="3"/>
        <v>3.598488</v>
      </c>
      <c r="T535" s="52">
        <f t="shared" si="4"/>
        <v>5.957874</v>
      </c>
      <c r="U535" s="52">
        <f t="shared" si="5"/>
        <v>1.134306</v>
      </c>
      <c r="V535" s="52">
        <f t="shared" si="6"/>
        <v>0.12915</v>
      </c>
      <c r="W535" s="52">
        <f t="shared" si="7"/>
        <v>0.024354</v>
      </c>
      <c r="X535" s="52">
        <f t="shared" si="8"/>
        <v>0.042066</v>
      </c>
    </row>
    <row r="536" ht="15.0" customHeight="1">
      <c r="A536" s="51">
        <v>102.0</v>
      </c>
      <c r="B536" s="51" t="s">
        <v>61</v>
      </c>
      <c r="C536" s="51">
        <v>213.0</v>
      </c>
      <c r="D536" s="51" t="s">
        <v>24</v>
      </c>
      <c r="E536" s="51" t="s">
        <v>26</v>
      </c>
      <c r="F536" s="51" t="s">
        <v>299</v>
      </c>
      <c r="G536" s="51" t="s">
        <v>300</v>
      </c>
      <c r="H536" s="52">
        <v>1.59</v>
      </c>
      <c r="I536" s="52">
        <v>1.59</v>
      </c>
      <c r="J536" s="52">
        <v>99.89</v>
      </c>
      <c r="K536" s="52">
        <f t="shared" si="112"/>
        <v>1.419088904</v>
      </c>
      <c r="L536" s="52">
        <f t="shared" si="2"/>
        <v>4.257266713</v>
      </c>
      <c r="M536" s="52">
        <v>0.0</v>
      </c>
      <c r="N536" s="52">
        <v>0.0</v>
      </c>
      <c r="O536" s="52">
        <v>0.0</v>
      </c>
      <c r="P536" s="52">
        <v>0.0</v>
      </c>
      <c r="Q536" s="52">
        <v>37.35</v>
      </c>
      <c r="R536" s="52">
        <v>0.01</v>
      </c>
      <c r="S536" s="52">
        <f t="shared" si="3"/>
        <v>0</v>
      </c>
      <c r="T536" s="52">
        <f t="shared" si="4"/>
        <v>0</v>
      </c>
      <c r="U536" s="52">
        <f t="shared" si="5"/>
        <v>0</v>
      </c>
      <c r="V536" s="52">
        <f t="shared" si="6"/>
        <v>0</v>
      </c>
      <c r="W536" s="52">
        <f t="shared" si="7"/>
        <v>0.593865</v>
      </c>
      <c r="X536" s="52">
        <f t="shared" si="8"/>
        <v>0.000159</v>
      </c>
    </row>
    <row r="537" ht="15.0" customHeight="1">
      <c r="A537" s="51">
        <v>103.0</v>
      </c>
      <c r="B537" s="51" t="s">
        <v>61</v>
      </c>
      <c r="C537" s="51">
        <v>188.0</v>
      </c>
      <c r="D537" s="51" t="s">
        <v>16</v>
      </c>
      <c r="E537" s="51" t="s">
        <v>19</v>
      </c>
      <c r="F537" s="51" t="s">
        <v>299</v>
      </c>
      <c r="G537" s="51" t="s">
        <v>300</v>
      </c>
      <c r="H537" s="52">
        <v>78.7280201448263</v>
      </c>
      <c r="I537" s="52">
        <v>54.79953162154351</v>
      </c>
      <c r="J537" s="52">
        <v>87.78</v>
      </c>
      <c r="K537" s="52">
        <f t="shared" ref="K537:K541" si="113">IF(J537&gt;0,(I537/J537)/SUMPRODUCT($I$537:$I$541/$J$537:$J$541)*100,"")</f>
        <v>55.36966637</v>
      </c>
      <c r="L537" s="52">
        <f t="shared" si="2"/>
        <v>166.1089991</v>
      </c>
      <c r="M537" s="52">
        <v>9.1</v>
      </c>
      <c r="N537" s="52">
        <v>86.03</v>
      </c>
      <c r="O537" s="52">
        <v>14.39</v>
      </c>
      <c r="P537" s="52">
        <v>4.18</v>
      </c>
      <c r="Q537" s="52">
        <v>0.03</v>
      </c>
      <c r="R537" s="52">
        <v>0.25</v>
      </c>
      <c r="S537" s="52">
        <f t="shared" si="3"/>
        <v>4.986757378</v>
      </c>
      <c r="T537" s="52">
        <f t="shared" si="4"/>
        <v>47.14403705</v>
      </c>
      <c r="U537" s="52">
        <f t="shared" si="5"/>
        <v>7.8856526</v>
      </c>
      <c r="V537" s="52">
        <f t="shared" si="6"/>
        <v>2.290620422</v>
      </c>
      <c r="W537" s="52">
        <f t="shared" si="7"/>
        <v>0.01643985949</v>
      </c>
      <c r="X537" s="52">
        <f t="shared" si="8"/>
        <v>0.1369988291</v>
      </c>
    </row>
    <row r="538" ht="15.0" customHeight="1">
      <c r="A538" s="51">
        <v>103.0</v>
      </c>
      <c r="B538" s="51" t="s">
        <v>61</v>
      </c>
      <c r="C538" s="51">
        <v>172.0</v>
      </c>
      <c r="D538" s="51" t="s">
        <v>16</v>
      </c>
      <c r="E538" s="51" t="s">
        <v>34</v>
      </c>
      <c r="F538" s="51" t="s">
        <v>299</v>
      </c>
      <c r="G538" s="51" t="s">
        <v>300</v>
      </c>
      <c r="H538" s="52">
        <v>3.9363750404261766</v>
      </c>
      <c r="I538" s="52">
        <v>28.381452830114352</v>
      </c>
      <c r="J538" s="52">
        <v>88.98</v>
      </c>
      <c r="K538" s="52">
        <f t="shared" si="113"/>
        <v>28.28999419</v>
      </c>
      <c r="L538" s="52">
        <f t="shared" si="2"/>
        <v>84.86998256</v>
      </c>
      <c r="M538" s="52">
        <v>13.73</v>
      </c>
      <c r="N538" s="52">
        <v>83.51</v>
      </c>
      <c r="O538" s="52">
        <v>24.43</v>
      </c>
      <c r="P538" s="52">
        <v>15.84</v>
      </c>
      <c r="Q538" s="52">
        <v>0.11</v>
      </c>
      <c r="R538" s="52">
        <v>1.72</v>
      </c>
      <c r="S538" s="52">
        <f t="shared" si="3"/>
        <v>3.896773474</v>
      </c>
      <c r="T538" s="52">
        <f t="shared" si="4"/>
        <v>23.70135126</v>
      </c>
      <c r="U538" s="52">
        <f t="shared" si="5"/>
        <v>6.933588926</v>
      </c>
      <c r="V538" s="52">
        <f t="shared" si="6"/>
        <v>4.495622128</v>
      </c>
      <c r="W538" s="52">
        <f t="shared" si="7"/>
        <v>0.03121959811</v>
      </c>
      <c r="X538" s="52">
        <f t="shared" si="8"/>
        <v>0.4881609887</v>
      </c>
    </row>
    <row r="539" ht="15.0" customHeight="1">
      <c r="A539" s="51">
        <v>103.0</v>
      </c>
      <c r="B539" s="51" t="s">
        <v>61</v>
      </c>
      <c r="C539" s="51">
        <v>208.0</v>
      </c>
      <c r="D539" s="51" t="s">
        <v>22</v>
      </c>
      <c r="E539" s="51" t="s">
        <v>23</v>
      </c>
      <c r="F539" s="51" t="s">
        <v>299</v>
      </c>
      <c r="G539" s="51" t="s">
        <v>300</v>
      </c>
      <c r="H539" s="52">
        <v>14.632301098277308</v>
      </c>
      <c r="I539" s="52">
        <v>12.214711424558173</v>
      </c>
      <c r="J539" s="52">
        <v>88.48</v>
      </c>
      <c r="K539" s="52">
        <f t="shared" si="113"/>
        <v>12.24415261</v>
      </c>
      <c r="L539" s="52">
        <f t="shared" si="2"/>
        <v>36.73245782</v>
      </c>
      <c r="M539" s="52">
        <v>48.76</v>
      </c>
      <c r="N539" s="52">
        <v>80.73</v>
      </c>
      <c r="O539" s="52">
        <v>15.37</v>
      </c>
      <c r="P539" s="52">
        <v>1.75</v>
      </c>
      <c r="Q539" s="52">
        <v>0.33</v>
      </c>
      <c r="R539" s="52">
        <v>0.57</v>
      </c>
      <c r="S539" s="52">
        <f t="shared" si="3"/>
        <v>5.955893291</v>
      </c>
      <c r="T539" s="52">
        <f t="shared" si="4"/>
        <v>9.860936533</v>
      </c>
      <c r="U539" s="52">
        <f t="shared" si="5"/>
        <v>1.877401146</v>
      </c>
      <c r="V539" s="52">
        <f t="shared" si="6"/>
        <v>0.2137574499</v>
      </c>
      <c r="W539" s="52">
        <f t="shared" si="7"/>
        <v>0.0403085477</v>
      </c>
      <c r="X539" s="52">
        <f t="shared" si="8"/>
        <v>0.06962385512</v>
      </c>
    </row>
    <row r="540" ht="15.0" customHeight="1">
      <c r="A540" s="51">
        <v>103.0</v>
      </c>
      <c r="B540" s="51" t="s">
        <v>61</v>
      </c>
      <c r="C540" s="51">
        <v>213.0</v>
      </c>
      <c r="D540" s="51" t="s">
        <v>24</v>
      </c>
      <c r="E540" s="51" t="s">
        <v>26</v>
      </c>
      <c r="F540" s="51" t="s">
        <v>299</v>
      </c>
      <c r="G540" s="51" t="s">
        <v>300</v>
      </c>
      <c r="H540" s="52">
        <v>1.7033037164702072</v>
      </c>
      <c r="I540" s="52">
        <v>3.604304123783969</v>
      </c>
      <c r="J540" s="52">
        <v>99.89</v>
      </c>
      <c r="K540" s="52">
        <f t="shared" si="113"/>
        <v>3.200295289</v>
      </c>
      <c r="L540" s="52">
        <f t="shared" si="2"/>
        <v>9.600885867</v>
      </c>
      <c r="M540" s="52">
        <v>0.0</v>
      </c>
      <c r="N540" s="52">
        <v>0.0</v>
      </c>
      <c r="O540" s="52">
        <v>0.0</v>
      </c>
      <c r="P540" s="52">
        <v>0.0</v>
      </c>
      <c r="Q540" s="52">
        <v>37.35</v>
      </c>
      <c r="R540" s="52">
        <v>0.01</v>
      </c>
      <c r="S540" s="52">
        <f t="shared" si="3"/>
        <v>0</v>
      </c>
      <c r="T540" s="52">
        <f t="shared" si="4"/>
        <v>0</v>
      </c>
      <c r="U540" s="52">
        <f t="shared" si="5"/>
        <v>0</v>
      </c>
      <c r="V540" s="52">
        <f t="shared" si="6"/>
        <v>0</v>
      </c>
      <c r="W540" s="52">
        <f t="shared" si="7"/>
        <v>1.34620759</v>
      </c>
      <c r="X540" s="52">
        <f t="shared" si="8"/>
        <v>0.0003604304124</v>
      </c>
    </row>
    <row r="541" ht="15.0" customHeight="1">
      <c r="A541" s="53">
        <v>103.0</v>
      </c>
      <c r="B541" s="53" t="s">
        <v>61</v>
      </c>
      <c r="C541" s="53">
        <v>227.0</v>
      </c>
      <c r="D541" s="53" t="s">
        <v>24</v>
      </c>
      <c r="E541" s="53" t="s">
        <v>70</v>
      </c>
      <c r="F541" s="53" t="s">
        <v>299</v>
      </c>
      <c r="G541" s="53" t="s">
        <v>300</v>
      </c>
      <c r="H541" s="54">
        <v>1.0</v>
      </c>
      <c r="I541" s="54">
        <v>1.0</v>
      </c>
      <c r="J541" s="54">
        <v>99.0</v>
      </c>
      <c r="K541" s="54">
        <f t="shared" si="113"/>
        <v>0.8958915534</v>
      </c>
      <c r="L541" s="54">
        <f t="shared" si="2"/>
        <v>2.68767466</v>
      </c>
      <c r="M541" s="54">
        <v>0.0</v>
      </c>
      <c r="N541" s="54">
        <v>0.0</v>
      </c>
      <c r="O541" s="54">
        <v>0.0</v>
      </c>
      <c r="P541" s="54">
        <v>0.0</v>
      </c>
      <c r="Q541" s="54">
        <v>0.0</v>
      </c>
      <c r="R541" s="54">
        <v>0.0</v>
      </c>
      <c r="S541" s="54">
        <f t="shared" si="3"/>
        <v>0</v>
      </c>
      <c r="T541" s="54">
        <f t="shared" si="4"/>
        <v>0</v>
      </c>
      <c r="U541" s="54">
        <f t="shared" si="5"/>
        <v>0</v>
      </c>
      <c r="V541" s="54">
        <f t="shared" si="6"/>
        <v>0</v>
      </c>
      <c r="W541" s="54">
        <f t="shared" si="7"/>
        <v>0</v>
      </c>
      <c r="X541" s="54">
        <f t="shared" si="8"/>
        <v>0</v>
      </c>
    </row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28.0"/>
    <col customWidth="1" min="3" max="3" width="22.0"/>
    <col customWidth="1" min="4" max="4" width="18.0"/>
    <col customWidth="1" min="5" max="6" width="12.0"/>
    <col customWidth="1" min="7" max="8" width="18.0"/>
    <col customWidth="1" min="9" max="9" width="20.0"/>
    <col customWidth="1" min="10" max="10" width="21.0"/>
    <col customWidth="1" min="11" max="26" width="8.63"/>
  </cols>
  <sheetData>
    <row r="1" ht="15.0" customHeight="1">
      <c r="A1" s="49" t="s">
        <v>238</v>
      </c>
      <c r="B1" s="49" t="s">
        <v>142</v>
      </c>
      <c r="C1" s="49" t="s">
        <v>143</v>
      </c>
      <c r="D1" s="49" t="s">
        <v>241</v>
      </c>
      <c r="E1" s="49" t="s">
        <v>327</v>
      </c>
      <c r="F1" s="49" t="s">
        <v>328</v>
      </c>
      <c r="G1" s="49" t="s">
        <v>329</v>
      </c>
      <c r="H1" s="49" t="s">
        <v>330</v>
      </c>
      <c r="I1" s="49" t="s">
        <v>331</v>
      </c>
      <c r="J1" s="49" t="s">
        <v>332</v>
      </c>
    </row>
    <row r="2" ht="15.0" customHeight="1">
      <c r="A2" s="55">
        <v>7.0</v>
      </c>
      <c r="B2" s="55" t="s">
        <v>336</v>
      </c>
      <c r="C2" s="55" t="s">
        <v>177</v>
      </c>
      <c r="D2" s="55" t="s">
        <v>339</v>
      </c>
      <c r="E2" s="55" t="s">
        <v>340</v>
      </c>
      <c r="F2" s="55" t="s">
        <v>341</v>
      </c>
      <c r="G2" s="56">
        <v>0.48166392993979207</v>
      </c>
      <c r="H2" s="56"/>
      <c r="I2" s="56">
        <v>0.48166392993979207</v>
      </c>
      <c r="J2" s="55" t="s">
        <v>342</v>
      </c>
    </row>
    <row r="3" ht="15.0" customHeight="1">
      <c r="A3" s="51">
        <v>7.0</v>
      </c>
      <c r="B3" s="51" t="s">
        <v>336</v>
      </c>
      <c r="C3" s="51" t="s">
        <v>177</v>
      </c>
      <c r="D3" s="51" t="s">
        <v>339</v>
      </c>
      <c r="E3" s="51" t="s">
        <v>343</v>
      </c>
      <c r="F3" s="51" t="s">
        <v>341</v>
      </c>
      <c r="G3" s="52">
        <v>1.6603773584905663</v>
      </c>
      <c r="H3" s="52"/>
      <c r="I3" s="52">
        <v>1.6603773584905663</v>
      </c>
      <c r="J3" s="51" t="s">
        <v>342</v>
      </c>
    </row>
    <row r="4" ht="15.0" customHeight="1">
      <c r="A4" s="51">
        <v>7.0</v>
      </c>
      <c r="B4" s="51" t="s">
        <v>336</v>
      </c>
      <c r="C4" s="51" t="s">
        <v>177</v>
      </c>
      <c r="D4" s="51" t="s">
        <v>339</v>
      </c>
      <c r="E4" s="51" t="s">
        <v>344</v>
      </c>
      <c r="F4" s="51" t="s">
        <v>345</v>
      </c>
      <c r="G4" s="52"/>
      <c r="H4" s="52">
        <v>7.0</v>
      </c>
      <c r="I4" s="52">
        <v>7.0</v>
      </c>
      <c r="J4" s="51" t="s">
        <v>342</v>
      </c>
    </row>
    <row r="5" ht="15.0" customHeight="1">
      <c r="A5" s="51">
        <v>7.0</v>
      </c>
      <c r="B5" s="51" t="s">
        <v>336</v>
      </c>
      <c r="C5" s="51" t="s">
        <v>177</v>
      </c>
      <c r="D5" s="51" t="s">
        <v>339</v>
      </c>
      <c r="E5" s="51" t="s">
        <v>347</v>
      </c>
      <c r="F5" s="51" t="s">
        <v>341</v>
      </c>
      <c r="G5" s="52">
        <v>30.0</v>
      </c>
      <c r="H5" s="52"/>
      <c r="I5" s="52">
        <v>30.0</v>
      </c>
      <c r="J5" s="51" t="s">
        <v>342</v>
      </c>
    </row>
    <row r="6" ht="15.0" customHeight="1">
      <c r="A6" s="51">
        <v>7.0</v>
      </c>
      <c r="B6" s="51" t="s">
        <v>336</v>
      </c>
      <c r="C6" s="51" t="s">
        <v>177</v>
      </c>
      <c r="D6" s="51" t="s">
        <v>339</v>
      </c>
      <c r="E6" s="51" t="s">
        <v>351</v>
      </c>
      <c r="F6" s="51" t="s">
        <v>341</v>
      </c>
      <c r="G6" s="52">
        <v>66.2287903667214</v>
      </c>
      <c r="H6" s="52"/>
      <c r="I6" s="52">
        <v>66.2287903667214</v>
      </c>
      <c r="J6" s="51" t="s">
        <v>342</v>
      </c>
    </row>
    <row r="7" ht="15.0" customHeight="1">
      <c r="A7" s="51">
        <v>7.0</v>
      </c>
      <c r="B7" s="51" t="s">
        <v>336</v>
      </c>
      <c r="C7" s="51" t="s">
        <v>177</v>
      </c>
      <c r="D7" s="51" t="s">
        <v>339</v>
      </c>
      <c r="E7" s="51" t="s">
        <v>352</v>
      </c>
      <c r="F7" s="51" t="s">
        <v>341</v>
      </c>
      <c r="G7" s="52">
        <v>0.29009304871373837</v>
      </c>
      <c r="H7" s="52"/>
      <c r="I7" s="52">
        <v>0.29009304871373837</v>
      </c>
      <c r="J7" s="51" t="s">
        <v>342</v>
      </c>
    </row>
    <row r="8" ht="15.0" customHeight="1">
      <c r="A8" s="51">
        <v>7.0</v>
      </c>
      <c r="B8" s="51" t="s">
        <v>336</v>
      </c>
      <c r="C8" s="51" t="s">
        <v>177</v>
      </c>
      <c r="D8" s="51" t="s">
        <v>339</v>
      </c>
      <c r="E8" s="51" t="s">
        <v>353</v>
      </c>
      <c r="F8" s="51" t="s">
        <v>354</v>
      </c>
      <c r="G8" s="52">
        <v>10.006420361247947</v>
      </c>
      <c r="H8" s="52">
        <v>10.026420361247947</v>
      </c>
      <c r="I8" s="52">
        <v>10.016420361247947</v>
      </c>
      <c r="J8" s="51" t="s">
        <v>342</v>
      </c>
    </row>
    <row r="9" ht="15.0" customHeight="1">
      <c r="A9" s="51">
        <v>8.0</v>
      </c>
      <c r="B9" s="51" t="s">
        <v>355</v>
      </c>
      <c r="C9" s="51" t="s">
        <v>177</v>
      </c>
      <c r="D9" s="51" t="s">
        <v>339</v>
      </c>
      <c r="E9" s="51" t="s">
        <v>340</v>
      </c>
      <c r="F9" s="51" t="s">
        <v>341</v>
      </c>
      <c r="G9" s="52">
        <v>0.2555555555555556</v>
      </c>
      <c r="H9" s="52"/>
      <c r="I9" s="52">
        <v>0.2555555555555556</v>
      </c>
      <c r="J9" s="51" t="s">
        <v>342</v>
      </c>
    </row>
    <row r="10" ht="15.0" customHeight="1">
      <c r="A10" s="51">
        <v>8.0</v>
      </c>
      <c r="B10" s="51" t="s">
        <v>355</v>
      </c>
      <c r="C10" s="51" t="s">
        <v>177</v>
      </c>
      <c r="D10" s="51" t="s">
        <v>339</v>
      </c>
      <c r="E10" s="51" t="s">
        <v>343</v>
      </c>
      <c r="F10" s="51" t="s">
        <v>341</v>
      </c>
      <c r="G10" s="52">
        <v>1.0952380952380953</v>
      </c>
      <c r="H10" s="52"/>
      <c r="I10" s="52">
        <v>1.0952380952380953</v>
      </c>
      <c r="J10" s="51" t="s">
        <v>342</v>
      </c>
    </row>
    <row r="11" ht="15.0" customHeight="1">
      <c r="A11" s="51">
        <v>8.0</v>
      </c>
      <c r="B11" s="51" t="s">
        <v>355</v>
      </c>
      <c r="C11" s="51" t="s">
        <v>177</v>
      </c>
      <c r="D11" s="51" t="s">
        <v>339</v>
      </c>
      <c r="E11" s="51" t="s">
        <v>344</v>
      </c>
      <c r="F11" s="51" t="s">
        <v>345</v>
      </c>
      <c r="G11" s="52"/>
      <c r="H11" s="52">
        <v>7.0</v>
      </c>
      <c r="I11" s="52">
        <v>7.0</v>
      </c>
      <c r="J11" s="51" t="s">
        <v>342</v>
      </c>
    </row>
    <row r="12" ht="15.0" customHeight="1">
      <c r="A12" s="51">
        <v>8.0</v>
      </c>
      <c r="B12" s="51" t="s">
        <v>355</v>
      </c>
      <c r="C12" s="51" t="s">
        <v>177</v>
      </c>
      <c r="D12" s="51" t="s">
        <v>339</v>
      </c>
      <c r="E12" s="51" t="s">
        <v>347</v>
      </c>
      <c r="F12" s="51" t="s">
        <v>341</v>
      </c>
      <c r="G12" s="52">
        <v>30.0</v>
      </c>
      <c r="H12" s="52"/>
      <c r="I12" s="52">
        <v>30.0</v>
      </c>
      <c r="J12" s="51" t="s">
        <v>342</v>
      </c>
    </row>
    <row r="13" ht="15.0" customHeight="1">
      <c r="A13" s="51">
        <v>8.0</v>
      </c>
      <c r="B13" s="51" t="s">
        <v>355</v>
      </c>
      <c r="C13" s="51" t="s">
        <v>177</v>
      </c>
      <c r="D13" s="51" t="s">
        <v>339</v>
      </c>
      <c r="E13" s="51" t="s">
        <v>351</v>
      </c>
      <c r="F13" s="51" t="s">
        <v>341</v>
      </c>
      <c r="G13" s="52">
        <v>52.77777777777778</v>
      </c>
      <c r="H13" s="52"/>
      <c r="I13" s="52">
        <v>52.77777777777778</v>
      </c>
      <c r="J13" s="51" t="s">
        <v>342</v>
      </c>
    </row>
    <row r="14" ht="15.0" customHeight="1">
      <c r="A14" s="51">
        <v>8.0</v>
      </c>
      <c r="B14" s="51" t="s">
        <v>355</v>
      </c>
      <c r="C14" s="51" t="s">
        <v>177</v>
      </c>
      <c r="D14" s="51" t="s">
        <v>339</v>
      </c>
      <c r="E14" s="51" t="s">
        <v>352</v>
      </c>
      <c r="F14" s="51" t="s">
        <v>341</v>
      </c>
      <c r="G14" s="52">
        <v>0.23333333333333336</v>
      </c>
      <c r="H14" s="52"/>
      <c r="I14" s="52">
        <v>0.23333333333333336</v>
      </c>
      <c r="J14" s="51" t="s">
        <v>342</v>
      </c>
    </row>
    <row r="15" ht="15.0" customHeight="1">
      <c r="A15" s="51">
        <v>8.0</v>
      </c>
      <c r="B15" s="51" t="s">
        <v>355</v>
      </c>
      <c r="C15" s="51" t="s">
        <v>177</v>
      </c>
      <c r="D15" s="51" t="s">
        <v>339</v>
      </c>
      <c r="E15" s="51" t="s">
        <v>353</v>
      </c>
      <c r="F15" s="51" t="s">
        <v>354</v>
      </c>
      <c r="G15" s="52">
        <v>9.656666666666668</v>
      </c>
      <c r="H15" s="52">
        <v>9.676666666666668</v>
      </c>
      <c r="I15" s="52">
        <v>9.666666666666668</v>
      </c>
      <c r="J15" s="51" t="s">
        <v>342</v>
      </c>
    </row>
    <row r="16" ht="15.0" customHeight="1">
      <c r="A16" s="51">
        <v>9.0</v>
      </c>
      <c r="B16" s="51" t="s">
        <v>364</v>
      </c>
      <c r="C16" s="51" t="s">
        <v>177</v>
      </c>
      <c r="D16" s="51" t="s">
        <v>339</v>
      </c>
      <c r="E16" s="51" t="s">
        <v>340</v>
      </c>
      <c r="F16" s="51" t="s">
        <v>341</v>
      </c>
      <c r="G16" s="52">
        <v>0.22457891453524642</v>
      </c>
      <c r="H16" s="52"/>
      <c r="I16" s="52">
        <v>0.22457891453524642</v>
      </c>
      <c r="J16" s="51" t="s">
        <v>342</v>
      </c>
    </row>
    <row r="17" ht="15.0" customHeight="1">
      <c r="A17" s="51">
        <v>9.0</v>
      </c>
      <c r="B17" s="51" t="s">
        <v>364</v>
      </c>
      <c r="C17" s="51" t="s">
        <v>177</v>
      </c>
      <c r="D17" s="51" t="s">
        <v>339</v>
      </c>
      <c r="E17" s="51" t="s">
        <v>343</v>
      </c>
      <c r="F17" s="51" t="s">
        <v>341</v>
      </c>
      <c r="G17" s="52">
        <v>1.0285714285714287</v>
      </c>
      <c r="H17" s="52"/>
      <c r="I17" s="52">
        <v>1.0285714285714287</v>
      </c>
      <c r="J17" s="51" t="s">
        <v>342</v>
      </c>
    </row>
    <row r="18" ht="15.0" customHeight="1">
      <c r="A18" s="51">
        <v>9.0</v>
      </c>
      <c r="B18" s="51" t="s">
        <v>364</v>
      </c>
      <c r="C18" s="51" t="s">
        <v>177</v>
      </c>
      <c r="D18" s="51" t="s">
        <v>339</v>
      </c>
      <c r="E18" s="51" t="s">
        <v>344</v>
      </c>
      <c r="F18" s="51" t="s">
        <v>354</v>
      </c>
      <c r="G18" s="52">
        <v>5.99</v>
      </c>
      <c r="H18" s="52">
        <v>6.01</v>
      </c>
      <c r="I18" s="52">
        <v>7.0</v>
      </c>
      <c r="J18" s="51" t="s">
        <v>260</v>
      </c>
    </row>
    <row r="19" ht="15.0" customHeight="1">
      <c r="A19" s="51">
        <v>9.0</v>
      </c>
      <c r="B19" s="51" t="s">
        <v>364</v>
      </c>
      <c r="C19" s="51" t="s">
        <v>177</v>
      </c>
      <c r="D19" s="51" t="s">
        <v>339</v>
      </c>
      <c r="E19" s="51" t="s">
        <v>347</v>
      </c>
      <c r="F19" s="51" t="s">
        <v>341</v>
      </c>
      <c r="G19" s="52">
        <v>30.0</v>
      </c>
      <c r="H19" s="52"/>
      <c r="I19" s="52">
        <v>30.0</v>
      </c>
      <c r="J19" s="51" t="s">
        <v>342</v>
      </c>
    </row>
    <row r="20" ht="15.0" customHeight="1">
      <c r="A20" s="51">
        <v>9.0</v>
      </c>
      <c r="B20" s="51" t="s">
        <v>364</v>
      </c>
      <c r="C20" s="51" t="s">
        <v>177</v>
      </c>
      <c r="D20" s="51" t="s">
        <v>339</v>
      </c>
      <c r="E20" s="51" t="s">
        <v>351</v>
      </c>
      <c r="F20" s="51" t="s">
        <v>341</v>
      </c>
      <c r="G20" s="52">
        <v>53.025577043044294</v>
      </c>
      <c r="H20" s="52"/>
      <c r="I20" s="52">
        <v>53.025577043044294</v>
      </c>
      <c r="J20" s="51" t="s">
        <v>342</v>
      </c>
    </row>
    <row r="21" ht="15.0" customHeight="1">
      <c r="A21" s="51">
        <v>9.0</v>
      </c>
      <c r="B21" s="51" t="s">
        <v>364</v>
      </c>
      <c r="C21" s="51" t="s">
        <v>177</v>
      </c>
      <c r="D21" s="51" t="s">
        <v>339</v>
      </c>
      <c r="E21" s="51" t="s">
        <v>352</v>
      </c>
      <c r="F21" s="51" t="s">
        <v>341</v>
      </c>
      <c r="G21" s="52">
        <v>0.21834061135371177</v>
      </c>
      <c r="H21" s="52"/>
      <c r="I21" s="52">
        <v>0.21834061135371177</v>
      </c>
      <c r="J21" s="51" t="s">
        <v>342</v>
      </c>
    </row>
    <row r="22" ht="15.0" customHeight="1">
      <c r="A22" s="51">
        <v>9.0</v>
      </c>
      <c r="B22" s="51" t="s">
        <v>364</v>
      </c>
      <c r="C22" s="51" t="s">
        <v>177</v>
      </c>
      <c r="D22" s="51" t="s">
        <v>339</v>
      </c>
      <c r="E22" s="51" t="s">
        <v>353</v>
      </c>
      <c r="F22" s="51" t="s">
        <v>354</v>
      </c>
      <c r="G22" s="52">
        <v>8.973156581409857</v>
      </c>
      <c r="H22" s="52">
        <v>8.993156581409856</v>
      </c>
      <c r="I22" s="52">
        <v>8.983156581409856</v>
      </c>
      <c r="J22" s="51" t="s">
        <v>342</v>
      </c>
    </row>
    <row r="23" ht="15.0" customHeight="1">
      <c r="A23" s="51">
        <v>10.0</v>
      </c>
      <c r="B23" s="51" t="s">
        <v>257</v>
      </c>
      <c r="C23" s="51" t="s">
        <v>177</v>
      </c>
      <c r="D23" s="51" t="s">
        <v>262</v>
      </c>
      <c r="E23" s="51" t="s">
        <v>340</v>
      </c>
      <c r="F23" s="51" t="s">
        <v>341</v>
      </c>
      <c r="G23" s="52">
        <v>0.3987884906612822</v>
      </c>
      <c r="H23" s="52"/>
      <c r="I23" s="52">
        <v>0.3987884906612822</v>
      </c>
      <c r="J23" s="51" t="s">
        <v>342</v>
      </c>
    </row>
    <row r="24" ht="15.0" customHeight="1">
      <c r="A24" s="51">
        <v>10.0</v>
      </c>
      <c r="B24" s="51" t="s">
        <v>257</v>
      </c>
      <c r="C24" s="51" t="s">
        <v>177</v>
      </c>
      <c r="D24" s="51" t="s">
        <v>262</v>
      </c>
      <c r="E24" s="51" t="s">
        <v>343</v>
      </c>
      <c r="F24" s="51" t="s">
        <v>341</v>
      </c>
      <c r="G24" s="52">
        <v>1.144927536231884</v>
      </c>
      <c r="H24" s="52"/>
      <c r="I24" s="52">
        <v>1.144927536231884</v>
      </c>
      <c r="J24" s="51" t="s">
        <v>342</v>
      </c>
    </row>
    <row r="25" ht="15.0" customHeight="1">
      <c r="A25" s="51">
        <v>10.0</v>
      </c>
      <c r="B25" s="51" t="s">
        <v>257</v>
      </c>
      <c r="C25" s="51" t="s">
        <v>177</v>
      </c>
      <c r="D25" s="51" t="s">
        <v>262</v>
      </c>
      <c r="E25" s="51" t="s">
        <v>344</v>
      </c>
      <c r="F25" s="51" t="s">
        <v>345</v>
      </c>
      <c r="G25" s="52"/>
      <c r="H25" s="52">
        <v>7.0</v>
      </c>
      <c r="I25" s="52">
        <v>7.0</v>
      </c>
      <c r="J25" s="51" t="s">
        <v>342</v>
      </c>
    </row>
    <row r="26" ht="15.0" customHeight="1">
      <c r="A26" s="51">
        <v>10.0</v>
      </c>
      <c r="B26" s="51" t="s">
        <v>257</v>
      </c>
      <c r="C26" s="51" t="s">
        <v>177</v>
      </c>
      <c r="D26" s="51" t="s">
        <v>262</v>
      </c>
      <c r="E26" s="51" t="s">
        <v>347</v>
      </c>
      <c r="F26" s="51" t="s">
        <v>341</v>
      </c>
      <c r="G26" s="52">
        <v>30.0</v>
      </c>
      <c r="H26" s="52"/>
      <c r="I26" s="52">
        <v>30.0</v>
      </c>
      <c r="J26" s="51" t="s">
        <v>342</v>
      </c>
    </row>
    <row r="27" ht="15.0" customHeight="1">
      <c r="A27" s="51">
        <v>10.0</v>
      </c>
      <c r="B27" s="51" t="s">
        <v>257</v>
      </c>
      <c r="C27" s="51" t="s">
        <v>177</v>
      </c>
      <c r="D27" s="51" t="s">
        <v>262</v>
      </c>
      <c r="E27" s="51" t="s">
        <v>351</v>
      </c>
      <c r="F27" s="51" t="s">
        <v>341</v>
      </c>
      <c r="G27" s="52">
        <v>66.12821807168096</v>
      </c>
      <c r="H27" s="52"/>
      <c r="I27" s="52">
        <v>66.12821807168096</v>
      </c>
      <c r="J27" s="51" t="s">
        <v>342</v>
      </c>
    </row>
    <row r="28" ht="15.0" customHeight="1">
      <c r="A28" s="51">
        <v>10.0</v>
      </c>
      <c r="B28" s="51" t="s">
        <v>257</v>
      </c>
      <c r="C28" s="51" t="s">
        <v>177</v>
      </c>
      <c r="D28" s="51" t="s">
        <v>262</v>
      </c>
      <c r="E28" s="51" t="s">
        <v>352</v>
      </c>
      <c r="F28" s="51" t="s">
        <v>341</v>
      </c>
      <c r="G28" s="52">
        <v>0.34830893488137304</v>
      </c>
      <c r="H28" s="52"/>
      <c r="I28" s="52">
        <v>0.34830893488137304</v>
      </c>
      <c r="J28" s="51" t="s">
        <v>342</v>
      </c>
    </row>
    <row r="29" ht="15.0" customHeight="1">
      <c r="A29" s="51">
        <v>10.0</v>
      </c>
      <c r="B29" s="51" t="s">
        <v>257</v>
      </c>
      <c r="C29" s="51" t="s">
        <v>177</v>
      </c>
      <c r="D29" s="51" t="s">
        <v>262</v>
      </c>
      <c r="E29" s="51" t="s">
        <v>353</v>
      </c>
      <c r="F29" s="51" t="s">
        <v>385</v>
      </c>
      <c r="G29" s="52">
        <v>14.74</v>
      </c>
      <c r="H29" s="52">
        <v>16.64</v>
      </c>
      <c r="I29" s="52">
        <v>14.740030287733468</v>
      </c>
      <c r="J29" s="51" t="s">
        <v>260</v>
      </c>
    </row>
    <row r="30" ht="15.0" customHeight="1">
      <c r="A30" s="51">
        <v>11.0</v>
      </c>
      <c r="B30" s="51" t="s">
        <v>174</v>
      </c>
      <c r="C30" s="51" t="s">
        <v>177</v>
      </c>
      <c r="D30" s="51" t="s">
        <v>262</v>
      </c>
      <c r="E30" s="51" t="s">
        <v>340</v>
      </c>
      <c r="F30" s="51" t="s">
        <v>341</v>
      </c>
      <c r="G30" s="52">
        <v>0.6228956228956228</v>
      </c>
      <c r="H30" s="52"/>
      <c r="I30" s="52">
        <v>0.6228956228956228</v>
      </c>
      <c r="J30" s="51" t="s">
        <v>342</v>
      </c>
    </row>
    <row r="31" ht="15.0" customHeight="1">
      <c r="A31" s="51">
        <v>11.0</v>
      </c>
      <c r="B31" s="51" t="s">
        <v>174</v>
      </c>
      <c r="C31" s="51" t="s">
        <v>177</v>
      </c>
      <c r="D31" s="51" t="s">
        <v>262</v>
      </c>
      <c r="E31" s="51" t="s">
        <v>343</v>
      </c>
      <c r="F31" s="51" t="s">
        <v>341</v>
      </c>
      <c r="G31" s="52">
        <v>1.48</v>
      </c>
      <c r="H31" s="52"/>
      <c r="I31" s="52">
        <v>1.48</v>
      </c>
      <c r="J31" s="51" t="s">
        <v>342</v>
      </c>
    </row>
    <row r="32" ht="15.0" customHeight="1">
      <c r="A32" s="51">
        <v>11.0</v>
      </c>
      <c r="B32" s="51" t="s">
        <v>174</v>
      </c>
      <c r="C32" s="51" t="s">
        <v>177</v>
      </c>
      <c r="D32" s="51" t="s">
        <v>262</v>
      </c>
      <c r="E32" s="51" t="s">
        <v>344</v>
      </c>
      <c r="F32" s="51" t="s">
        <v>345</v>
      </c>
      <c r="G32" s="52"/>
      <c r="H32" s="52">
        <v>7.0</v>
      </c>
      <c r="I32" s="52">
        <v>7.0</v>
      </c>
      <c r="J32" s="51" t="s">
        <v>342</v>
      </c>
    </row>
    <row r="33" ht="15.0" customHeight="1">
      <c r="A33" s="51">
        <v>11.0</v>
      </c>
      <c r="B33" s="51" t="s">
        <v>174</v>
      </c>
      <c r="C33" s="51" t="s">
        <v>177</v>
      </c>
      <c r="D33" s="51" t="s">
        <v>262</v>
      </c>
      <c r="E33" s="51" t="s">
        <v>347</v>
      </c>
      <c r="F33" s="51" t="s">
        <v>341</v>
      </c>
      <c r="G33" s="52">
        <v>30.0</v>
      </c>
      <c r="H33" s="52"/>
      <c r="I33" s="52">
        <v>30.0</v>
      </c>
      <c r="J33" s="51" t="s">
        <v>342</v>
      </c>
    </row>
    <row r="34" ht="15.0" customHeight="1">
      <c r="A34" s="51">
        <v>11.0</v>
      </c>
      <c r="B34" s="51" t="s">
        <v>174</v>
      </c>
      <c r="C34" s="51" t="s">
        <v>177</v>
      </c>
      <c r="D34" s="51" t="s">
        <v>262</v>
      </c>
      <c r="E34" s="51" t="s">
        <v>351</v>
      </c>
      <c r="F34" s="51" t="s">
        <v>341</v>
      </c>
      <c r="G34" s="52">
        <v>65.65656565656566</v>
      </c>
      <c r="H34" s="52"/>
      <c r="I34" s="52">
        <v>65.65656565656566</v>
      </c>
      <c r="J34" s="51" t="s">
        <v>342</v>
      </c>
    </row>
    <row r="35" ht="15.0" customHeight="1">
      <c r="A35" s="51">
        <v>11.0</v>
      </c>
      <c r="B35" s="51" t="s">
        <v>174</v>
      </c>
      <c r="C35" s="51" t="s">
        <v>177</v>
      </c>
      <c r="D35" s="51" t="s">
        <v>262</v>
      </c>
      <c r="E35" s="51" t="s">
        <v>352</v>
      </c>
      <c r="F35" s="51" t="s">
        <v>341</v>
      </c>
      <c r="G35" s="52">
        <v>0.42087542087542085</v>
      </c>
      <c r="H35" s="52"/>
      <c r="I35" s="52">
        <v>0.42087542087542085</v>
      </c>
      <c r="J35" s="51" t="s">
        <v>342</v>
      </c>
    </row>
    <row r="36" ht="15.0" customHeight="1">
      <c r="A36" s="51">
        <v>11.0</v>
      </c>
      <c r="B36" s="51" t="s">
        <v>174</v>
      </c>
      <c r="C36" s="51" t="s">
        <v>177</v>
      </c>
      <c r="D36" s="51" t="s">
        <v>262</v>
      </c>
      <c r="E36" s="51" t="s">
        <v>353</v>
      </c>
      <c r="F36" s="51" t="s">
        <v>354</v>
      </c>
      <c r="G36" s="52">
        <v>18.676868686868687</v>
      </c>
      <c r="H36" s="52">
        <v>18.69686868686869</v>
      </c>
      <c r="I36" s="52">
        <v>18.68686868686869</v>
      </c>
      <c r="J36" s="51" t="s">
        <v>342</v>
      </c>
    </row>
    <row r="37" ht="15.0" customHeight="1">
      <c r="A37" s="51">
        <v>13.0</v>
      </c>
      <c r="B37" s="51" t="s">
        <v>402</v>
      </c>
      <c r="C37" s="51" t="s">
        <v>177</v>
      </c>
      <c r="D37" s="51" t="s">
        <v>262</v>
      </c>
      <c r="E37" s="51" t="s">
        <v>340</v>
      </c>
      <c r="F37" s="51" t="s">
        <v>341</v>
      </c>
      <c r="G37" s="52">
        <v>0.3859060402684563</v>
      </c>
      <c r="H37" s="52"/>
      <c r="I37" s="52">
        <v>0.3859060402684563</v>
      </c>
      <c r="J37" s="51" t="s">
        <v>342</v>
      </c>
    </row>
    <row r="38" ht="15.0" customHeight="1">
      <c r="A38" s="51">
        <v>13.0</v>
      </c>
      <c r="B38" s="51" t="s">
        <v>402</v>
      </c>
      <c r="C38" s="51" t="s">
        <v>177</v>
      </c>
      <c r="D38" s="51" t="s">
        <v>262</v>
      </c>
      <c r="E38" s="51" t="s">
        <v>343</v>
      </c>
      <c r="F38" s="51" t="s">
        <v>385</v>
      </c>
      <c r="G38" s="52">
        <v>1.5</v>
      </c>
      <c r="H38" s="52">
        <v>2.0</v>
      </c>
      <c r="I38" s="52">
        <v>1.5333333333333332</v>
      </c>
      <c r="J38" s="51" t="s">
        <v>260</v>
      </c>
    </row>
    <row r="39" ht="15.0" customHeight="1">
      <c r="A39" s="51">
        <v>13.0</v>
      </c>
      <c r="B39" s="51" t="s">
        <v>402</v>
      </c>
      <c r="C39" s="51" t="s">
        <v>177</v>
      </c>
      <c r="D39" s="51" t="s">
        <v>262</v>
      </c>
      <c r="E39" s="51" t="s">
        <v>344</v>
      </c>
      <c r="F39" s="51" t="s">
        <v>345</v>
      </c>
      <c r="G39" s="52"/>
      <c r="H39" s="52">
        <v>7.0</v>
      </c>
      <c r="I39" s="52">
        <v>7.0</v>
      </c>
      <c r="J39" s="51" t="s">
        <v>342</v>
      </c>
    </row>
    <row r="40" ht="15.0" customHeight="1">
      <c r="A40" s="51">
        <v>13.0</v>
      </c>
      <c r="B40" s="51" t="s">
        <v>402</v>
      </c>
      <c r="C40" s="51" t="s">
        <v>177</v>
      </c>
      <c r="D40" s="51" t="s">
        <v>262</v>
      </c>
      <c r="E40" s="51" t="s">
        <v>347</v>
      </c>
      <c r="F40" s="51" t="s">
        <v>341</v>
      </c>
      <c r="G40" s="52">
        <v>30.0</v>
      </c>
      <c r="H40" s="52"/>
      <c r="I40" s="52">
        <v>30.0</v>
      </c>
      <c r="J40" s="51" t="s">
        <v>342</v>
      </c>
    </row>
    <row r="41" ht="15.0" customHeight="1">
      <c r="A41" s="51">
        <v>13.0</v>
      </c>
      <c r="B41" s="51" t="s">
        <v>402</v>
      </c>
      <c r="C41" s="51" t="s">
        <v>177</v>
      </c>
      <c r="D41" s="51" t="s">
        <v>262</v>
      </c>
      <c r="E41" s="51" t="s">
        <v>351</v>
      </c>
      <c r="F41" s="51" t="s">
        <v>341</v>
      </c>
      <c r="G41" s="52">
        <v>53.691275167785236</v>
      </c>
      <c r="H41" s="52"/>
      <c r="I41" s="52">
        <v>53.691275167785236</v>
      </c>
      <c r="J41" s="51" t="s">
        <v>342</v>
      </c>
    </row>
    <row r="42" ht="15.0" customHeight="1">
      <c r="A42" s="51">
        <v>13.0</v>
      </c>
      <c r="B42" s="51" t="s">
        <v>402</v>
      </c>
      <c r="C42" s="51" t="s">
        <v>177</v>
      </c>
      <c r="D42" s="51" t="s">
        <v>262</v>
      </c>
      <c r="E42" s="51" t="s">
        <v>352</v>
      </c>
      <c r="F42" s="51" t="s">
        <v>341</v>
      </c>
      <c r="G42" s="52">
        <v>0.25167785234899326</v>
      </c>
      <c r="H42" s="52"/>
      <c r="I42" s="52">
        <v>0.25167785234899326</v>
      </c>
      <c r="J42" s="51" t="s">
        <v>342</v>
      </c>
    </row>
    <row r="43" ht="15.0" customHeight="1">
      <c r="A43" s="51">
        <v>13.0</v>
      </c>
      <c r="B43" s="51" t="s">
        <v>402</v>
      </c>
      <c r="C43" s="51" t="s">
        <v>177</v>
      </c>
      <c r="D43" s="51" t="s">
        <v>262</v>
      </c>
      <c r="E43" s="51" t="s">
        <v>353</v>
      </c>
      <c r="F43" s="51" t="s">
        <v>354</v>
      </c>
      <c r="G43" s="52">
        <v>12.406107382550337</v>
      </c>
      <c r="H43" s="52">
        <v>12.426107382550336</v>
      </c>
      <c r="I43" s="52">
        <v>12.416107382550337</v>
      </c>
      <c r="J43" s="51" t="s">
        <v>342</v>
      </c>
    </row>
    <row r="44" ht="15.0" customHeight="1">
      <c r="A44" s="51">
        <v>14.0</v>
      </c>
      <c r="B44" s="51" t="s">
        <v>174</v>
      </c>
      <c r="C44" s="51" t="s">
        <v>177</v>
      </c>
      <c r="D44" s="51" t="s">
        <v>262</v>
      </c>
      <c r="E44" s="51" t="s">
        <v>340</v>
      </c>
      <c r="F44" s="51" t="s">
        <v>341</v>
      </c>
      <c r="G44" s="52">
        <v>0.6228956228956228</v>
      </c>
      <c r="H44" s="52"/>
      <c r="I44" s="52">
        <v>0.6228956228956228</v>
      </c>
      <c r="J44" s="51" t="s">
        <v>342</v>
      </c>
    </row>
    <row r="45" ht="15.0" customHeight="1">
      <c r="A45" s="51">
        <v>14.0</v>
      </c>
      <c r="B45" s="51" t="s">
        <v>174</v>
      </c>
      <c r="C45" s="51" t="s">
        <v>177</v>
      </c>
      <c r="D45" s="51" t="s">
        <v>262</v>
      </c>
      <c r="E45" s="51" t="s">
        <v>343</v>
      </c>
      <c r="F45" s="51" t="s">
        <v>341</v>
      </c>
      <c r="G45" s="52">
        <v>1.48</v>
      </c>
      <c r="H45" s="52"/>
      <c r="I45" s="52">
        <v>1.48</v>
      </c>
      <c r="J45" s="51" t="s">
        <v>342</v>
      </c>
    </row>
    <row r="46" ht="15.0" customHeight="1">
      <c r="A46" s="51">
        <v>14.0</v>
      </c>
      <c r="B46" s="51" t="s">
        <v>174</v>
      </c>
      <c r="C46" s="51" t="s">
        <v>177</v>
      </c>
      <c r="D46" s="51" t="s">
        <v>262</v>
      </c>
      <c r="E46" s="51" t="s">
        <v>344</v>
      </c>
      <c r="F46" s="51" t="s">
        <v>345</v>
      </c>
      <c r="G46" s="52"/>
      <c r="H46" s="52">
        <v>7.0</v>
      </c>
      <c r="I46" s="52">
        <v>7.0</v>
      </c>
      <c r="J46" s="51" t="s">
        <v>342</v>
      </c>
    </row>
    <row r="47" ht="15.0" customHeight="1">
      <c r="A47" s="51">
        <v>14.0</v>
      </c>
      <c r="B47" s="51" t="s">
        <v>174</v>
      </c>
      <c r="C47" s="51" t="s">
        <v>177</v>
      </c>
      <c r="D47" s="51" t="s">
        <v>262</v>
      </c>
      <c r="E47" s="51" t="s">
        <v>347</v>
      </c>
      <c r="F47" s="51" t="s">
        <v>341</v>
      </c>
      <c r="G47" s="52">
        <v>30.0</v>
      </c>
      <c r="H47" s="52"/>
      <c r="I47" s="52">
        <v>30.0</v>
      </c>
      <c r="J47" s="51" t="s">
        <v>342</v>
      </c>
    </row>
    <row r="48" ht="15.0" customHeight="1">
      <c r="A48" s="51">
        <v>14.0</v>
      </c>
      <c r="B48" s="51" t="s">
        <v>174</v>
      </c>
      <c r="C48" s="51" t="s">
        <v>177</v>
      </c>
      <c r="D48" s="51" t="s">
        <v>262</v>
      </c>
      <c r="E48" s="51" t="s">
        <v>351</v>
      </c>
      <c r="F48" s="51" t="s">
        <v>341</v>
      </c>
      <c r="G48" s="52">
        <v>65.65656565656566</v>
      </c>
      <c r="H48" s="52"/>
      <c r="I48" s="52">
        <v>65.65656565656566</v>
      </c>
      <c r="J48" s="51" t="s">
        <v>342</v>
      </c>
    </row>
    <row r="49" ht="15.0" customHeight="1">
      <c r="A49" s="51">
        <v>14.0</v>
      </c>
      <c r="B49" s="51" t="s">
        <v>174</v>
      </c>
      <c r="C49" s="51" t="s">
        <v>177</v>
      </c>
      <c r="D49" s="51" t="s">
        <v>262</v>
      </c>
      <c r="E49" s="51" t="s">
        <v>352</v>
      </c>
      <c r="F49" s="51" t="s">
        <v>341</v>
      </c>
      <c r="G49" s="52">
        <v>0.42087542087542085</v>
      </c>
      <c r="H49" s="52"/>
      <c r="I49" s="52">
        <v>0.42087542087542085</v>
      </c>
      <c r="J49" s="51" t="s">
        <v>342</v>
      </c>
    </row>
    <row r="50" ht="15.0" customHeight="1">
      <c r="A50" s="51">
        <v>14.0</v>
      </c>
      <c r="B50" s="51" t="s">
        <v>174</v>
      </c>
      <c r="C50" s="51" t="s">
        <v>177</v>
      </c>
      <c r="D50" s="51" t="s">
        <v>262</v>
      </c>
      <c r="E50" s="51" t="s">
        <v>353</v>
      </c>
      <c r="F50" s="51" t="s">
        <v>354</v>
      </c>
      <c r="G50" s="52">
        <v>18.676868686868687</v>
      </c>
      <c r="H50" s="52">
        <v>18.69686868686869</v>
      </c>
      <c r="I50" s="52">
        <v>18.68686868686869</v>
      </c>
      <c r="J50" s="51" t="s">
        <v>342</v>
      </c>
    </row>
    <row r="51" ht="15.0" customHeight="1">
      <c r="A51" s="51">
        <v>16.0</v>
      </c>
      <c r="B51" s="51" t="s">
        <v>424</v>
      </c>
      <c r="C51" s="51" t="s">
        <v>192</v>
      </c>
      <c r="D51" s="51" t="s">
        <v>308</v>
      </c>
      <c r="E51" s="51" t="s">
        <v>340</v>
      </c>
      <c r="F51" s="51" t="s">
        <v>341</v>
      </c>
      <c r="G51" s="52">
        <v>0.2506265664160401</v>
      </c>
      <c r="H51" s="52"/>
      <c r="I51" s="52">
        <v>0.2506265664160401</v>
      </c>
      <c r="J51" s="51" t="s">
        <v>342</v>
      </c>
    </row>
    <row r="52" ht="15.0" customHeight="1">
      <c r="A52" s="51">
        <v>16.0</v>
      </c>
      <c r="B52" s="51" t="s">
        <v>424</v>
      </c>
      <c r="C52" s="51" t="s">
        <v>192</v>
      </c>
      <c r="D52" s="51" t="s">
        <v>308</v>
      </c>
      <c r="E52" s="51" t="s">
        <v>343</v>
      </c>
      <c r="F52" s="51" t="s">
        <v>354</v>
      </c>
      <c r="G52" s="52">
        <v>2.99</v>
      </c>
      <c r="H52" s="52">
        <v>3.01</v>
      </c>
      <c r="I52" s="52">
        <v>1.0869565217391304</v>
      </c>
      <c r="J52" s="51" t="s">
        <v>260</v>
      </c>
    </row>
    <row r="53" ht="15.0" customHeight="1">
      <c r="A53" s="51">
        <v>16.0</v>
      </c>
      <c r="B53" s="51" t="s">
        <v>424</v>
      </c>
      <c r="C53" s="51" t="s">
        <v>192</v>
      </c>
      <c r="D53" s="51" t="s">
        <v>308</v>
      </c>
      <c r="E53" s="51" t="s">
        <v>344</v>
      </c>
      <c r="F53" s="51" t="s">
        <v>345</v>
      </c>
      <c r="G53" s="52"/>
      <c r="H53" s="52">
        <v>7.0</v>
      </c>
      <c r="I53" s="52">
        <v>7.0</v>
      </c>
      <c r="J53" s="51" t="s">
        <v>342</v>
      </c>
    </row>
    <row r="54" ht="15.0" customHeight="1">
      <c r="A54" s="51">
        <v>16.0</v>
      </c>
      <c r="B54" s="51" t="s">
        <v>424</v>
      </c>
      <c r="C54" s="51" t="s">
        <v>192</v>
      </c>
      <c r="D54" s="51" t="s">
        <v>308</v>
      </c>
      <c r="E54" s="51" t="s">
        <v>347</v>
      </c>
      <c r="F54" s="51" t="s">
        <v>341</v>
      </c>
      <c r="G54" s="52">
        <v>30.0</v>
      </c>
      <c r="H54" s="52"/>
      <c r="I54" s="52">
        <v>30.0</v>
      </c>
      <c r="J54" s="51" t="s">
        <v>342</v>
      </c>
    </row>
    <row r="55" ht="15.0" customHeight="1">
      <c r="A55" s="51">
        <v>16.0</v>
      </c>
      <c r="B55" s="51" t="s">
        <v>424</v>
      </c>
      <c r="C55" s="51" t="s">
        <v>192</v>
      </c>
      <c r="D55" s="51" t="s">
        <v>308</v>
      </c>
      <c r="E55" s="51" t="s">
        <v>351</v>
      </c>
      <c r="F55" s="51" t="s">
        <v>341</v>
      </c>
      <c r="G55" s="52">
        <v>53.1328320802005</v>
      </c>
      <c r="H55" s="52"/>
      <c r="I55" s="52">
        <v>53.1328320802005</v>
      </c>
      <c r="J55" s="51" t="s">
        <v>342</v>
      </c>
    </row>
    <row r="56" ht="15.0" customHeight="1">
      <c r="A56" s="51">
        <v>16.0</v>
      </c>
      <c r="B56" s="51" t="s">
        <v>424</v>
      </c>
      <c r="C56" s="51" t="s">
        <v>192</v>
      </c>
      <c r="D56" s="51" t="s">
        <v>308</v>
      </c>
      <c r="E56" s="51" t="s">
        <v>352</v>
      </c>
      <c r="F56" s="51" t="s">
        <v>341</v>
      </c>
      <c r="G56" s="52">
        <v>0.23057644110275688</v>
      </c>
      <c r="H56" s="52"/>
      <c r="I56" s="52">
        <v>0.23057644110275688</v>
      </c>
      <c r="J56" s="51" t="s">
        <v>342</v>
      </c>
    </row>
    <row r="57" ht="15.0" customHeight="1">
      <c r="A57" s="51">
        <v>16.0</v>
      </c>
      <c r="B57" s="51" t="s">
        <v>424</v>
      </c>
      <c r="C57" s="51" t="s">
        <v>192</v>
      </c>
      <c r="D57" s="51" t="s">
        <v>308</v>
      </c>
      <c r="E57" s="51" t="s">
        <v>353</v>
      </c>
      <c r="F57" s="51" t="s">
        <v>354</v>
      </c>
      <c r="G57" s="52">
        <v>9.614060150375941</v>
      </c>
      <c r="H57" s="52">
        <v>9.63406015037594</v>
      </c>
      <c r="I57" s="52">
        <v>9.624060150375941</v>
      </c>
      <c r="J57" s="51" t="s">
        <v>342</v>
      </c>
    </row>
    <row r="58" ht="15.0" customHeight="1">
      <c r="A58" s="51">
        <v>17.0</v>
      </c>
      <c r="B58" s="51" t="s">
        <v>191</v>
      </c>
      <c r="C58" s="51" t="s">
        <v>192</v>
      </c>
      <c r="D58" s="51" t="s">
        <v>308</v>
      </c>
      <c r="E58" s="51" t="s">
        <v>340</v>
      </c>
      <c r="F58" s="51" t="s">
        <v>341</v>
      </c>
      <c r="G58" s="52">
        <v>0.6228956228956228</v>
      </c>
      <c r="H58" s="52"/>
      <c r="I58" s="52">
        <v>0.6228956228956228</v>
      </c>
      <c r="J58" s="51" t="s">
        <v>342</v>
      </c>
    </row>
    <row r="59" ht="15.0" customHeight="1">
      <c r="A59" s="51">
        <v>17.0</v>
      </c>
      <c r="B59" s="51" t="s">
        <v>191</v>
      </c>
      <c r="C59" s="51" t="s">
        <v>192</v>
      </c>
      <c r="D59" s="51" t="s">
        <v>308</v>
      </c>
      <c r="E59" s="51" t="s">
        <v>343</v>
      </c>
      <c r="F59" s="51" t="s">
        <v>341</v>
      </c>
      <c r="G59" s="52">
        <v>1.48</v>
      </c>
      <c r="H59" s="52"/>
      <c r="I59" s="52">
        <v>1.48</v>
      </c>
      <c r="J59" s="51" t="s">
        <v>342</v>
      </c>
    </row>
    <row r="60" ht="15.0" customHeight="1">
      <c r="A60" s="51">
        <v>17.0</v>
      </c>
      <c r="B60" s="51" t="s">
        <v>191</v>
      </c>
      <c r="C60" s="51" t="s">
        <v>192</v>
      </c>
      <c r="D60" s="51" t="s">
        <v>308</v>
      </c>
      <c r="E60" s="51" t="s">
        <v>344</v>
      </c>
      <c r="F60" s="51" t="s">
        <v>345</v>
      </c>
      <c r="G60" s="52"/>
      <c r="H60" s="52">
        <v>7.0</v>
      </c>
      <c r="I60" s="52">
        <v>7.0</v>
      </c>
      <c r="J60" s="51" t="s">
        <v>342</v>
      </c>
    </row>
    <row r="61" ht="15.0" customHeight="1">
      <c r="A61" s="51">
        <v>17.0</v>
      </c>
      <c r="B61" s="51" t="s">
        <v>191</v>
      </c>
      <c r="C61" s="51" t="s">
        <v>192</v>
      </c>
      <c r="D61" s="51" t="s">
        <v>308</v>
      </c>
      <c r="E61" s="51" t="s">
        <v>347</v>
      </c>
      <c r="F61" s="51" t="s">
        <v>341</v>
      </c>
      <c r="G61" s="52">
        <v>30.0</v>
      </c>
      <c r="H61" s="52"/>
      <c r="I61" s="52">
        <v>30.0</v>
      </c>
      <c r="J61" s="51" t="s">
        <v>342</v>
      </c>
    </row>
    <row r="62" ht="15.0" customHeight="1">
      <c r="A62" s="51">
        <v>17.0</v>
      </c>
      <c r="B62" s="51" t="s">
        <v>191</v>
      </c>
      <c r="C62" s="51" t="s">
        <v>192</v>
      </c>
      <c r="D62" s="51" t="s">
        <v>308</v>
      </c>
      <c r="E62" s="51" t="s">
        <v>351</v>
      </c>
      <c r="F62" s="51" t="s">
        <v>341</v>
      </c>
      <c r="G62" s="52">
        <v>65.65656565656566</v>
      </c>
      <c r="H62" s="52"/>
      <c r="I62" s="52">
        <v>65.65656565656566</v>
      </c>
      <c r="J62" s="51" t="s">
        <v>342</v>
      </c>
    </row>
    <row r="63" ht="15.0" customHeight="1">
      <c r="A63" s="51">
        <v>17.0</v>
      </c>
      <c r="B63" s="51" t="s">
        <v>191</v>
      </c>
      <c r="C63" s="51" t="s">
        <v>192</v>
      </c>
      <c r="D63" s="51" t="s">
        <v>308</v>
      </c>
      <c r="E63" s="51" t="s">
        <v>352</v>
      </c>
      <c r="F63" s="51" t="s">
        <v>341</v>
      </c>
      <c r="G63" s="52">
        <v>0.42087542087542085</v>
      </c>
      <c r="H63" s="52"/>
      <c r="I63" s="52">
        <v>0.42087542087542085</v>
      </c>
      <c r="J63" s="51" t="s">
        <v>342</v>
      </c>
    </row>
    <row r="64" ht="15.0" customHeight="1">
      <c r="A64" s="51">
        <v>17.0</v>
      </c>
      <c r="B64" s="51" t="s">
        <v>191</v>
      </c>
      <c r="C64" s="51" t="s">
        <v>192</v>
      </c>
      <c r="D64" s="51" t="s">
        <v>308</v>
      </c>
      <c r="E64" s="51" t="s">
        <v>353</v>
      </c>
      <c r="F64" s="51" t="s">
        <v>354</v>
      </c>
      <c r="G64" s="52">
        <v>18.676868686868687</v>
      </c>
      <c r="H64" s="52">
        <v>18.69686868686869</v>
      </c>
      <c r="I64" s="52">
        <v>18.68686868686869</v>
      </c>
      <c r="J64" s="51" t="s">
        <v>342</v>
      </c>
    </row>
    <row r="65" ht="15.0" customHeight="1">
      <c r="A65" s="51">
        <v>18.0</v>
      </c>
      <c r="B65" s="51" t="s">
        <v>355</v>
      </c>
      <c r="C65" s="51" t="s">
        <v>192</v>
      </c>
      <c r="D65" s="51" t="s">
        <v>308</v>
      </c>
      <c r="E65" s="51" t="s">
        <v>340</v>
      </c>
      <c r="F65" s="51" t="s">
        <v>341</v>
      </c>
      <c r="G65" s="52">
        <v>0.37262872628726285</v>
      </c>
      <c r="H65" s="52"/>
      <c r="I65" s="52">
        <v>0.37262872628726285</v>
      </c>
      <c r="J65" s="51" t="s">
        <v>342</v>
      </c>
    </row>
    <row r="66" ht="15.0" customHeight="1">
      <c r="A66" s="51">
        <v>18.0</v>
      </c>
      <c r="B66" s="51" t="s">
        <v>355</v>
      </c>
      <c r="C66" s="51" t="s">
        <v>192</v>
      </c>
      <c r="D66" s="51" t="s">
        <v>308</v>
      </c>
      <c r="E66" s="51" t="s">
        <v>343</v>
      </c>
      <c r="F66" s="51" t="s">
        <v>341</v>
      </c>
      <c r="G66" s="52">
        <v>1.2790697674418605</v>
      </c>
      <c r="H66" s="52"/>
      <c r="I66" s="52">
        <v>1.2790697674418605</v>
      </c>
      <c r="J66" s="51" t="s">
        <v>342</v>
      </c>
    </row>
    <row r="67" ht="15.0" customHeight="1">
      <c r="A67" s="51">
        <v>18.0</v>
      </c>
      <c r="B67" s="51" t="s">
        <v>355</v>
      </c>
      <c r="C67" s="51" t="s">
        <v>192</v>
      </c>
      <c r="D67" s="51" t="s">
        <v>308</v>
      </c>
      <c r="E67" s="51" t="s">
        <v>344</v>
      </c>
      <c r="F67" s="51" t="s">
        <v>345</v>
      </c>
      <c r="G67" s="52"/>
      <c r="H67" s="52">
        <v>7.0</v>
      </c>
      <c r="I67" s="52">
        <v>7.0</v>
      </c>
      <c r="J67" s="51" t="s">
        <v>342</v>
      </c>
    </row>
    <row r="68" ht="15.0" customHeight="1">
      <c r="A68" s="51">
        <v>18.0</v>
      </c>
      <c r="B68" s="51" t="s">
        <v>355</v>
      </c>
      <c r="C68" s="51" t="s">
        <v>192</v>
      </c>
      <c r="D68" s="51" t="s">
        <v>308</v>
      </c>
      <c r="E68" s="51" t="s">
        <v>347</v>
      </c>
      <c r="F68" s="51" t="s">
        <v>341</v>
      </c>
      <c r="G68" s="52">
        <v>30.0</v>
      </c>
      <c r="H68" s="52"/>
      <c r="I68" s="52">
        <v>30.0</v>
      </c>
      <c r="J68" s="51" t="s">
        <v>342</v>
      </c>
    </row>
    <row r="69" ht="15.0" customHeight="1">
      <c r="A69" s="51">
        <v>18.0</v>
      </c>
      <c r="B69" s="51" t="s">
        <v>355</v>
      </c>
      <c r="C69" s="51" t="s">
        <v>192</v>
      </c>
      <c r="D69" s="51" t="s">
        <v>308</v>
      </c>
      <c r="E69" s="51" t="s">
        <v>351</v>
      </c>
      <c r="F69" s="51" t="s">
        <v>341</v>
      </c>
      <c r="G69" s="52">
        <v>66.39566395663957</v>
      </c>
      <c r="H69" s="52"/>
      <c r="I69" s="52">
        <v>66.39566395663957</v>
      </c>
      <c r="J69" s="51" t="s">
        <v>342</v>
      </c>
    </row>
    <row r="70" ht="15.0" customHeight="1">
      <c r="A70" s="51">
        <v>18.0</v>
      </c>
      <c r="B70" s="51" t="s">
        <v>355</v>
      </c>
      <c r="C70" s="51" t="s">
        <v>192</v>
      </c>
      <c r="D70" s="51" t="s">
        <v>308</v>
      </c>
      <c r="E70" s="51" t="s">
        <v>352</v>
      </c>
      <c r="F70" s="51" t="s">
        <v>341</v>
      </c>
      <c r="G70" s="52">
        <v>0.29132791327913277</v>
      </c>
      <c r="H70" s="52"/>
      <c r="I70" s="52">
        <v>0.29132791327913277</v>
      </c>
      <c r="J70" s="51" t="s">
        <v>342</v>
      </c>
    </row>
    <row r="71" ht="15.0" customHeight="1">
      <c r="A71" s="51">
        <v>18.0</v>
      </c>
      <c r="B71" s="51" t="s">
        <v>355</v>
      </c>
      <c r="C71" s="51" t="s">
        <v>192</v>
      </c>
      <c r="D71" s="51" t="s">
        <v>308</v>
      </c>
      <c r="E71" s="51" t="s">
        <v>353</v>
      </c>
      <c r="F71" s="51" t="s">
        <v>354</v>
      </c>
      <c r="G71" s="52">
        <v>11.914119241192411</v>
      </c>
      <c r="H71" s="52">
        <v>11.93411924119241</v>
      </c>
      <c r="I71" s="52">
        <v>11.924119241192411</v>
      </c>
      <c r="J71" s="51" t="s">
        <v>342</v>
      </c>
    </row>
    <row r="72" ht="15.0" customHeight="1">
      <c r="A72" s="51">
        <v>20.0</v>
      </c>
      <c r="B72" s="51" t="s">
        <v>459</v>
      </c>
      <c r="C72" s="51" t="s">
        <v>192</v>
      </c>
      <c r="D72" s="51" t="s">
        <v>308</v>
      </c>
      <c r="E72" s="51" t="s">
        <v>340</v>
      </c>
      <c r="F72" s="51" t="s">
        <v>341</v>
      </c>
      <c r="G72" s="52">
        <v>0.5176470588235292</v>
      </c>
      <c r="H72" s="52"/>
      <c r="I72" s="52">
        <v>0.5176470588235292</v>
      </c>
      <c r="J72" s="51" t="s">
        <v>342</v>
      </c>
    </row>
    <row r="73" ht="15.0" customHeight="1">
      <c r="A73" s="51">
        <v>20.0</v>
      </c>
      <c r="B73" s="51" t="s">
        <v>459</v>
      </c>
      <c r="C73" s="51" t="s">
        <v>192</v>
      </c>
      <c r="D73" s="51" t="s">
        <v>308</v>
      </c>
      <c r="E73" s="51" t="s">
        <v>343</v>
      </c>
      <c r="F73" s="51" t="s">
        <v>341</v>
      </c>
      <c r="G73" s="52">
        <v>1.2941176470588234</v>
      </c>
      <c r="H73" s="52"/>
      <c r="I73" s="52">
        <v>1.2941176470588234</v>
      </c>
      <c r="J73" s="51" t="s">
        <v>342</v>
      </c>
    </row>
    <row r="74" ht="15.0" customHeight="1">
      <c r="A74" s="51">
        <v>20.0</v>
      </c>
      <c r="B74" s="51" t="s">
        <v>459</v>
      </c>
      <c r="C74" s="51" t="s">
        <v>192</v>
      </c>
      <c r="D74" s="51" t="s">
        <v>308</v>
      </c>
      <c r="E74" s="51" t="s">
        <v>344</v>
      </c>
      <c r="F74" s="51" t="s">
        <v>345</v>
      </c>
      <c r="G74" s="52"/>
      <c r="H74" s="52">
        <v>7.0</v>
      </c>
      <c r="I74" s="52">
        <v>7.0</v>
      </c>
      <c r="J74" s="51" t="s">
        <v>342</v>
      </c>
    </row>
    <row r="75" ht="15.0" customHeight="1">
      <c r="A75" s="51">
        <v>20.0</v>
      </c>
      <c r="B75" s="51" t="s">
        <v>459</v>
      </c>
      <c r="C75" s="51" t="s">
        <v>192</v>
      </c>
      <c r="D75" s="51" t="s">
        <v>308</v>
      </c>
      <c r="E75" s="51" t="s">
        <v>347</v>
      </c>
      <c r="F75" s="51" t="s">
        <v>341</v>
      </c>
      <c r="G75" s="52">
        <v>30.0</v>
      </c>
      <c r="H75" s="52"/>
      <c r="I75" s="52">
        <v>30.0</v>
      </c>
      <c r="J75" s="51" t="s">
        <v>342</v>
      </c>
    </row>
    <row r="76" ht="15.0" customHeight="1">
      <c r="A76" s="51">
        <v>20.0</v>
      </c>
      <c r="B76" s="51" t="s">
        <v>459</v>
      </c>
      <c r="C76" s="51" t="s">
        <v>192</v>
      </c>
      <c r="D76" s="51" t="s">
        <v>308</v>
      </c>
      <c r="E76" s="51" t="s">
        <v>351</v>
      </c>
      <c r="F76" s="51" t="s">
        <v>341</v>
      </c>
      <c r="G76" s="52">
        <v>79.2156862745098</v>
      </c>
      <c r="H76" s="52"/>
      <c r="I76" s="52">
        <v>79.2156862745098</v>
      </c>
      <c r="J76" s="51" t="s">
        <v>342</v>
      </c>
    </row>
    <row r="77" ht="15.0" customHeight="1">
      <c r="A77" s="51">
        <v>20.0</v>
      </c>
      <c r="B77" s="51" t="s">
        <v>459</v>
      </c>
      <c r="C77" s="51" t="s">
        <v>192</v>
      </c>
      <c r="D77" s="51" t="s">
        <v>308</v>
      </c>
      <c r="E77" s="51" t="s">
        <v>352</v>
      </c>
      <c r="F77" s="51" t="s">
        <v>341</v>
      </c>
      <c r="G77" s="52">
        <v>0.3999999999999999</v>
      </c>
      <c r="H77" s="52"/>
      <c r="I77" s="52">
        <v>0.3999999999999999</v>
      </c>
      <c r="J77" s="51" t="s">
        <v>342</v>
      </c>
    </row>
    <row r="78" ht="15.0" customHeight="1">
      <c r="A78" s="51">
        <v>20.0</v>
      </c>
      <c r="B78" s="51" t="s">
        <v>459</v>
      </c>
      <c r="C78" s="51" t="s">
        <v>192</v>
      </c>
      <c r="D78" s="51" t="s">
        <v>308</v>
      </c>
      <c r="E78" s="51" t="s">
        <v>353</v>
      </c>
      <c r="F78" s="51" t="s">
        <v>354</v>
      </c>
      <c r="G78" s="52">
        <v>15.51941176470588</v>
      </c>
      <c r="H78" s="52">
        <v>15.53941176470588</v>
      </c>
      <c r="I78" s="52">
        <v>15.52941176470588</v>
      </c>
      <c r="J78" s="51" t="s">
        <v>342</v>
      </c>
    </row>
    <row r="79" ht="15.0" customHeight="1">
      <c r="A79" s="51">
        <v>21.0</v>
      </c>
      <c r="B79" s="51" t="s">
        <v>200</v>
      </c>
      <c r="C79" s="51" t="s">
        <v>192</v>
      </c>
      <c r="D79" s="51" t="s">
        <v>308</v>
      </c>
      <c r="E79" s="51" t="s">
        <v>340</v>
      </c>
      <c r="F79" s="51" t="s">
        <v>341</v>
      </c>
      <c r="G79" s="52">
        <v>0.3859060402684563</v>
      </c>
      <c r="H79" s="52"/>
      <c r="I79" s="52">
        <v>0.3859060402684563</v>
      </c>
      <c r="J79" s="51" t="s">
        <v>342</v>
      </c>
    </row>
    <row r="80" ht="15.0" customHeight="1">
      <c r="A80" s="51">
        <v>21.0</v>
      </c>
      <c r="B80" s="51" t="s">
        <v>200</v>
      </c>
      <c r="C80" s="51" t="s">
        <v>192</v>
      </c>
      <c r="D80" s="51" t="s">
        <v>308</v>
      </c>
      <c r="E80" s="51" t="s">
        <v>343</v>
      </c>
      <c r="F80" s="51" t="s">
        <v>341</v>
      </c>
      <c r="G80" s="52">
        <v>1.5333333333333332</v>
      </c>
      <c r="H80" s="52"/>
      <c r="I80" s="52">
        <v>1.5333333333333332</v>
      </c>
      <c r="J80" s="51" t="s">
        <v>342</v>
      </c>
    </row>
    <row r="81" ht="15.0" customHeight="1">
      <c r="A81" s="51">
        <v>21.0</v>
      </c>
      <c r="B81" s="51" t="s">
        <v>200</v>
      </c>
      <c r="C81" s="51" t="s">
        <v>192</v>
      </c>
      <c r="D81" s="51" t="s">
        <v>308</v>
      </c>
      <c r="E81" s="51" t="s">
        <v>344</v>
      </c>
      <c r="F81" s="51" t="s">
        <v>345</v>
      </c>
      <c r="G81" s="52"/>
      <c r="H81" s="52">
        <v>7.0</v>
      </c>
      <c r="I81" s="52">
        <v>7.0</v>
      </c>
      <c r="J81" s="51" t="s">
        <v>342</v>
      </c>
    </row>
    <row r="82" ht="15.0" customHeight="1">
      <c r="A82" s="51">
        <v>21.0</v>
      </c>
      <c r="B82" s="51" t="s">
        <v>200</v>
      </c>
      <c r="C82" s="51" t="s">
        <v>192</v>
      </c>
      <c r="D82" s="51" t="s">
        <v>308</v>
      </c>
      <c r="E82" s="51" t="s">
        <v>347</v>
      </c>
      <c r="F82" s="51" t="s">
        <v>341</v>
      </c>
      <c r="G82" s="52">
        <v>30.0</v>
      </c>
      <c r="H82" s="52"/>
      <c r="I82" s="52">
        <v>30.0</v>
      </c>
      <c r="J82" s="51" t="s">
        <v>342</v>
      </c>
    </row>
    <row r="83" ht="15.0" customHeight="1">
      <c r="A83" s="51">
        <v>21.0</v>
      </c>
      <c r="B83" s="51" t="s">
        <v>200</v>
      </c>
      <c r="C83" s="51" t="s">
        <v>192</v>
      </c>
      <c r="D83" s="51" t="s">
        <v>308</v>
      </c>
      <c r="E83" s="51" t="s">
        <v>351</v>
      </c>
      <c r="F83" s="51" t="s">
        <v>341</v>
      </c>
      <c r="G83" s="52">
        <v>53.691275167785236</v>
      </c>
      <c r="H83" s="52"/>
      <c r="I83" s="52">
        <v>53.691275167785236</v>
      </c>
      <c r="J83" s="51" t="s">
        <v>342</v>
      </c>
    </row>
    <row r="84" ht="15.0" customHeight="1">
      <c r="A84" s="51">
        <v>21.0</v>
      </c>
      <c r="B84" s="51" t="s">
        <v>200</v>
      </c>
      <c r="C84" s="51" t="s">
        <v>192</v>
      </c>
      <c r="D84" s="51" t="s">
        <v>308</v>
      </c>
      <c r="E84" s="51" t="s">
        <v>352</v>
      </c>
      <c r="F84" s="51" t="s">
        <v>341</v>
      </c>
      <c r="G84" s="52">
        <v>0.25167785234899326</v>
      </c>
      <c r="H84" s="52"/>
      <c r="I84" s="52">
        <v>0.25167785234899326</v>
      </c>
      <c r="J84" s="51" t="s">
        <v>342</v>
      </c>
    </row>
    <row r="85" ht="15.0" customHeight="1">
      <c r="A85" s="51">
        <v>21.0</v>
      </c>
      <c r="B85" s="51" t="s">
        <v>200</v>
      </c>
      <c r="C85" s="51" t="s">
        <v>192</v>
      </c>
      <c r="D85" s="51" t="s">
        <v>308</v>
      </c>
      <c r="E85" s="51" t="s">
        <v>353</v>
      </c>
      <c r="F85" s="51" t="s">
        <v>354</v>
      </c>
      <c r="G85" s="52">
        <v>12.406107382550337</v>
      </c>
      <c r="H85" s="52">
        <v>12.426107382550336</v>
      </c>
      <c r="I85" s="52">
        <v>12.416107382550337</v>
      </c>
      <c r="J85" s="51" t="s">
        <v>342</v>
      </c>
    </row>
    <row r="86" ht="15.0" customHeight="1">
      <c r="A86" s="51">
        <v>22.0</v>
      </c>
      <c r="B86" s="51" t="s">
        <v>473</v>
      </c>
      <c r="C86" s="51" t="s">
        <v>192</v>
      </c>
      <c r="D86" s="51" t="s">
        <v>308</v>
      </c>
      <c r="E86" s="51" t="s">
        <v>340</v>
      </c>
      <c r="F86" s="51" t="s">
        <v>341</v>
      </c>
      <c r="G86" s="52">
        <v>0.2506265664160401</v>
      </c>
      <c r="H86" s="52"/>
      <c r="I86" s="52">
        <v>0.2506265664160401</v>
      </c>
      <c r="J86" s="51" t="s">
        <v>342</v>
      </c>
    </row>
    <row r="87" ht="15.0" customHeight="1">
      <c r="A87" s="51">
        <v>22.0</v>
      </c>
      <c r="B87" s="51" t="s">
        <v>473</v>
      </c>
      <c r="C87" s="51" t="s">
        <v>192</v>
      </c>
      <c r="D87" s="51" t="s">
        <v>308</v>
      </c>
      <c r="E87" s="51" t="s">
        <v>343</v>
      </c>
      <c r="F87" s="51" t="s">
        <v>341</v>
      </c>
      <c r="G87" s="52">
        <v>1.0869565217391304</v>
      </c>
      <c r="H87" s="52"/>
      <c r="I87" s="52">
        <v>1.0869565217391304</v>
      </c>
      <c r="J87" s="51" t="s">
        <v>342</v>
      </c>
    </row>
    <row r="88" ht="15.0" customHeight="1">
      <c r="A88" s="51">
        <v>22.0</v>
      </c>
      <c r="B88" s="51" t="s">
        <v>473</v>
      </c>
      <c r="C88" s="51" t="s">
        <v>192</v>
      </c>
      <c r="D88" s="51" t="s">
        <v>308</v>
      </c>
      <c r="E88" s="51" t="s">
        <v>344</v>
      </c>
      <c r="F88" s="51" t="s">
        <v>345</v>
      </c>
      <c r="G88" s="52"/>
      <c r="H88" s="52">
        <v>7.0</v>
      </c>
      <c r="I88" s="52">
        <v>7.0</v>
      </c>
      <c r="J88" s="51" t="s">
        <v>342</v>
      </c>
    </row>
    <row r="89" ht="15.0" customHeight="1">
      <c r="A89" s="51">
        <v>22.0</v>
      </c>
      <c r="B89" s="51" t="s">
        <v>473</v>
      </c>
      <c r="C89" s="51" t="s">
        <v>192</v>
      </c>
      <c r="D89" s="51" t="s">
        <v>308</v>
      </c>
      <c r="E89" s="51" t="s">
        <v>347</v>
      </c>
      <c r="F89" s="51" t="s">
        <v>341</v>
      </c>
      <c r="G89" s="52">
        <v>30.0</v>
      </c>
      <c r="H89" s="52"/>
      <c r="I89" s="52">
        <v>30.0</v>
      </c>
      <c r="J89" s="51" t="s">
        <v>342</v>
      </c>
    </row>
    <row r="90" ht="15.0" customHeight="1">
      <c r="A90" s="51">
        <v>22.0</v>
      </c>
      <c r="B90" s="51" t="s">
        <v>473</v>
      </c>
      <c r="C90" s="51" t="s">
        <v>192</v>
      </c>
      <c r="D90" s="51" t="s">
        <v>308</v>
      </c>
      <c r="E90" s="51" t="s">
        <v>351</v>
      </c>
      <c r="F90" s="51" t="s">
        <v>341</v>
      </c>
      <c r="G90" s="52">
        <v>53.1328320802005</v>
      </c>
      <c r="H90" s="52"/>
      <c r="I90" s="52">
        <v>53.1328320802005</v>
      </c>
      <c r="J90" s="51" t="s">
        <v>342</v>
      </c>
    </row>
    <row r="91" ht="15.0" customHeight="1">
      <c r="A91" s="51">
        <v>22.0</v>
      </c>
      <c r="B91" s="51" t="s">
        <v>473</v>
      </c>
      <c r="C91" s="51" t="s">
        <v>192</v>
      </c>
      <c r="D91" s="51" t="s">
        <v>308</v>
      </c>
      <c r="E91" s="51" t="s">
        <v>352</v>
      </c>
      <c r="F91" s="51" t="s">
        <v>341</v>
      </c>
      <c r="G91" s="52">
        <v>0.23057644110275688</v>
      </c>
      <c r="H91" s="52"/>
      <c r="I91" s="52">
        <v>0.23057644110275688</v>
      </c>
      <c r="J91" s="51" t="s">
        <v>342</v>
      </c>
    </row>
    <row r="92" ht="15.0" customHeight="1">
      <c r="A92" s="51">
        <v>22.0</v>
      </c>
      <c r="B92" s="51" t="s">
        <v>473</v>
      </c>
      <c r="C92" s="51" t="s">
        <v>192</v>
      </c>
      <c r="D92" s="51" t="s">
        <v>308</v>
      </c>
      <c r="E92" s="51" t="s">
        <v>353</v>
      </c>
      <c r="F92" s="51" t="s">
        <v>354</v>
      </c>
      <c r="G92" s="52">
        <v>9.614060150375941</v>
      </c>
      <c r="H92" s="52">
        <v>9.63406015037594</v>
      </c>
      <c r="I92" s="52">
        <v>9.624060150375941</v>
      </c>
      <c r="J92" s="51" t="s">
        <v>342</v>
      </c>
    </row>
    <row r="93" ht="15.0" customHeight="1">
      <c r="A93" s="51">
        <v>23.0</v>
      </c>
      <c r="B93" s="51" t="s">
        <v>481</v>
      </c>
      <c r="C93" s="51" t="s">
        <v>192</v>
      </c>
      <c r="D93" s="51" t="s">
        <v>308</v>
      </c>
      <c r="E93" s="51" t="s">
        <v>340</v>
      </c>
      <c r="F93" s="51" t="s">
        <v>341</v>
      </c>
      <c r="G93" s="52">
        <v>0.6228956228956228</v>
      </c>
      <c r="H93" s="52"/>
      <c r="I93" s="52">
        <v>0.6228956228956228</v>
      </c>
      <c r="J93" s="51" t="s">
        <v>342</v>
      </c>
    </row>
    <row r="94" ht="15.0" customHeight="1">
      <c r="A94" s="51">
        <v>23.0</v>
      </c>
      <c r="B94" s="51" t="s">
        <v>481</v>
      </c>
      <c r="C94" s="51" t="s">
        <v>192</v>
      </c>
      <c r="D94" s="51" t="s">
        <v>308</v>
      </c>
      <c r="E94" s="51" t="s">
        <v>343</v>
      </c>
      <c r="F94" s="51" t="s">
        <v>341</v>
      </c>
      <c r="G94" s="52">
        <v>1.48</v>
      </c>
      <c r="H94" s="52"/>
      <c r="I94" s="52">
        <v>1.48</v>
      </c>
      <c r="J94" s="51" t="s">
        <v>342</v>
      </c>
    </row>
    <row r="95" ht="15.0" customHeight="1">
      <c r="A95" s="51">
        <v>23.0</v>
      </c>
      <c r="B95" s="51" t="s">
        <v>481</v>
      </c>
      <c r="C95" s="51" t="s">
        <v>192</v>
      </c>
      <c r="D95" s="51" t="s">
        <v>308</v>
      </c>
      <c r="E95" s="51" t="s">
        <v>344</v>
      </c>
      <c r="F95" s="51" t="s">
        <v>345</v>
      </c>
      <c r="G95" s="52"/>
      <c r="H95" s="52">
        <v>7.0</v>
      </c>
      <c r="I95" s="52">
        <v>7.0</v>
      </c>
      <c r="J95" s="51" t="s">
        <v>342</v>
      </c>
    </row>
    <row r="96" ht="15.0" customHeight="1">
      <c r="A96" s="51">
        <v>23.0</v>
      </c>
      <c r="B96" s="51" t="s">
        <v>481</v>
      </c>
      <c r="C96" s="51" t="s">
        <v>192</v>
      </c>
      <c r="D96" s="51" t="s">
        <v>308</v>
      </c>
      <c r="E96" s="51" t="s">
        <v>347</v>
      </c>
      <c r="F96" s="51" t="s">
        <v>341</v>
      </c>
      <c r="G96" s="52">
        <v>30.0</v>
      </c>
      <c r="H96" s="52"/>
      <c r="I96" s="52">
        <v>30.0</v>
      </c>
      <c r="J96" s="51" t="s">
        <v>342</v>
      </c>
    </row>
    <row r="97" ht="15.0" customHeight="1">
      <c r="A97" s="51">
        <v>23.0</v>
      </c>
      <c r="B97" s="51" t="s">
        <v>481</v>
      </c>
      <c r="C97" s="51" t="s">
        <v>192</v>
      </c>
      <c r="D97" s="51" t="s">
        <v>308</v>
      </c>
      <c r="E97" s="51" t="s">
        <v>351</v>
      </c>
      <c r="F97" s="51" t="s">
        <v>341</v>
      </c>
      <c r="G97" s="52">
        <v>65.65656565656566</v>
      </c>
      <c r="H97" s="52"/>
      <c r="I97" s="52">
        <v>65.65656565656566</v>
      </c>
      <c r="J97" s="51" t="s">
        <v>342</v>
      </c>
    </row>
    <row r="98" ht="15.0" customHeight="1">
      <c r="A98" s="51">
        <v>23.0</v>
      </c>
      <c r="B98" s="51" t="s">
        <v>481</v>
      </c>
      <c r="C98" s="51" t="s">
        <v>192</v>
      </c>
      <c r="D98" s="51" t="s">
        <v>308</v>
      </c>
      <c r="E98" s="51" t="s">
        <v>352</v>
      </c>
      <c r="F98" s="51" t="s">
        <v>341</v>
      </c>
      <c r="G98" s="52">
        <v>0.42087542087542085</v>
      </c>
      <c r="H98" s="52"/>
      <c r="I98" s="52">
        <v>0.42087542087542085</v>
      </c>
      <c r="J98" s="51" t="s">
        <v>342</v>
      </c>
    </row>
    <row r="99" ht="15.0" customHeight="1">
      <c r="A99" s="51">
        <v>23.0</v>
      </c>
      <c r="B99" s="51" t="s">
        <v>481</v>
      </c>
      <c r="C99" s="51" t="s">
        <v>192</v>
      </c>
      <c r="D99" s="51" t="s">
        <v>308</v>
      </c>
      <c r="E99" s="51" t="s">
        <v>353</v>
      </c>
      <c r="F99" s="51" t="s">
        <v>354</v>
      </c>
      <c r="G99" s="52">
        <v>18.676868686868687</v>
      </c>
      <c r="H99" s="52">
        <v>18.69686868686869</v>
      </c>
      <c r="I99" s="52">
        <v>18.68686868686869</v>
      </c>
      <c r="J99" s="51" t="s">
        <v>342</v>
      </c>
    </row>
    <row r="100" ht="15.0" customHeight="1">
      <c r="A100" s="51">
        <v>24.0</v>
      </c>
      <c r="B100" s="51" t="s">
        <v>488</v>
      </c>
      <c r="C100" s="51" t="s">
        <v>192</v>
      </c>
      <c r="D100" s="51" t="s">
        <v>308</v>
      </c>
      <c r="E100" s="51" t="s">
        <v>340</v>
      </c>
      <c r="F100" s="51" t="s">
        <v>341</v>
      </c>
      <c r="G100" s="52">
        <v>0.37262872628726285</v>
      </c>
      <c r="H100" s="52"/>
      <c r="I100" s="52">
        <v>0.37262872628726285</v>
      </c>
      <c r="J100" s="51" t="s">
        <v>342</v>
      </c>
    </row>
    <row r="101" ht="15.0" customHeight="1">
      <c r="A101" s="51">
        <v>24.0</v>
      </c>
      <c r="B101" s="51" t="s">
        <v>488</v>
      </c>
      <c r="C101" s="51" t="s">
        <v>192</v>
      </c>
      <c r="D101" s="51" t="s">
        <v>308</v>
      </c>
      <c r="E101" s="51" t="s">
        <v>343</v>
      </c>
      <c r="F101" s="51" t="s">
        <v>341</v>
      </c>
      <c r="G101" s="52">
        <v>1.2790697674418605</v>
      </c>
      <c r="H101" s="52"/>
      <c r="I101" s="52">
        <v>1.2790697674418605</v>
      </c>
      <c r="J101" s="51" t="s">
        <v>342</v>
      </c>
    </row>
    <row r="102" ht="15.0" customHeight="1">
      <c r="A102" s="51">
        <v>24.0</v>
      </c>
      <c r="B102" s="51" t="s">
        <v>488</v>
      </c>
      <c r="C102" s="51" t="s">
        <v>192</v>
      </c>
      <c r="D102" s="51" t="s">
        <v>308</v>
      </c>
      <c r="E102" s="51" t="s">
        <v>344</v>
      </c>
      <c r="F102" s="51" t="s">
        <v>345</v>
      </c>
      <c r="G102" s="52"/>
      <c r="H102" s="52">
        <v>7.0</v>
      </c>
      <c r="I102" s="52">
        <v>7.0</v>
      </c>
      <c r="J102" s="51" t="s">
        <v>342</v>
      </c>
    </row>
    <row r="103" ht="15.0" customHeight="1">
      <c r="A103" s="51">
        <v>24.0</v>
      </c>
      <c r="B103" s="51" t="s">
        <v>488</v>
      </c>
      <c r="C103" s="51" t="s">
        <v>192</v>
      </c>
      <c r="D103" s="51" t="s">
        <v>308</v>
      </c>
      <c r="E103" s="51" t="s">
        <v>347</v>
      </c>
      <c r="F103" s="51" t="s">
        <v>341</v>
      </c>
      <c r="G103" s="52">
        <v>30.0</v>
      </c>
      <c r="H103" s="52"/>
      <c r="I103" s="52">
        <v>30.0</v>
      </c>
      <c r="J103" s="51" t="s">
        <v>342</v>
      </c>
    </row>
    <row r="104" ht="15.0" customHeight="1">
      <c r="A104" s="51">
        <v>24.0</v>
      </c>
      <c r="B104" s="51" t="s">
        <v>488</v>
      </c>
      <c r="C104" s="51" t="s">
        <v>192</v>
      </c>
      <c r="D104" s="51" t="s">
        <v>308</v>
      </c>
      <c r="E104" s="51" t="s">
        <v>351</v>
      </c>
      <c r="F104" s="51" t="s">
        <v>341</v>
      </c>
      <c r="G104" s="52">
        <v>66.39566395663957</v>
      </c>
      <c r="H104" s="52"/>
      <c r="I104" s="52">
        <v>66.39566395663957</v>
      </c>
      <c r="J104" s="51" t="s">
        <v>342</v>
      </c>
    </row>
    <row r="105" ht="15.0" customHeight="1">
      <c r="A105" s="51">
        <v>24.0</v>
      </c>
      <c r="B105" s="51" t="s">
        <v>488</v>
      </c>
      <c r="C105" s="51" t="s">
        <v>192</v>
      </c>
      <c r="D105" s="51" t="s">
        <v>308</v>
      </c>
      <c r="E105" s="51" t="s">
        <v>352</v>
      </c>
      <c r="F105" s="51" t="s">
        <v>341</v>
      </c>
      <c r="G105" s="52">
        <v>0.29132791327913277</v>
      </c>
      <c r="H105" s="52"/>
      <c r="I105" s="52">
        <v>0.29132791327913277</v>
      </c>
      <c r="J105" s="51" t="s">
        <v>342</v>
      </c>
    </row>
    <row r="106" ht="15.0" customHeight="1">
      <c r="A106" s="51">
        <v>24.0</v>
      </c>
      <c r="B106" s="51" t="s">
        <v>488</v>
      </c>
      <c r="C106" s="51" t="s">
        <v>192</v>
      </c>
      <c r="D106" s="51" t="s">
        <v>308</v>
      </c>
      <c r="E106" s="51" t="s">
        <v>353</v>
      </c>
      <c r="F106" s="51" t="s">
        <v>354</v>
      </c>
      <c r="G106" s="52">
        <v>11.914119241192411</v>
      </c>
      <c r="H106" s="52">
        <v>11.93411924119241</v>
      </c>
      <c r="I106" s="52">
        <v>11.924119241192411</v>
      </c>
      <c r="J106" s="51" t="s">
        <v>342</v>
      </c>
    </row>
    <row r="107" ht="15.0" customHeight="1">
      <c r="A107" s="51">
        <v>25.0</v>
      </c>
      <c r="B107" s="51" t="s">
        <v>511</v>
      </c>
      <c r="C107" s="51" t="s">
        <v>192</v>
      </c>
      <c r="D107" s="51" t="s">
        <v>308</v>
      </c>
      <c r="E107" s="51" t="s">
        <v>340</v>
      </c>
      <c r="F107" s="51" t="s">
        <v>341</v>
      </c>
      <c r="G107" s="52">
        <v>0.5052790346907995</v>
      </c>
      <c r="H107" s="52"/>
      <c r="I107" s="52">
        <v>0.5052790346907995</v>
      </c>
      <c r="J107" s="51" t="s">
        <v>342</v>
      </c>
    </row>
    <row r="108" ht="15.0" customHeight="1">
      <c r="A108" s="51">
        <v>25.0</v>
      </c>
      <c r="B108" s="51" t="s">
        <v>511</v>
      </c>
      <c r="C108" s="51" t="s">
        <v>192</v>
      </c>
      <c r="D108" s="51" t="s">
        <v>308</v>
      </c>
      <c r="E108" s="51" t="s">
        <v>343</v>
      </c>
      <c r="F108" s="51" t="s">
        <v>341</v>
      </c>
      <c r="G108" s="52">
        <v>1.2884615384615383</v>
      </c>
      <c r="H108" s="52"/>
      <c r="I108" s="52">
        <v>1.2884615384615383</v>
      </c>
      <c r="J108" s="51" t="s">
        <v>342</v>
      </c>
    </row>
    <row r="109" ht="15.0" customHeight="1">
      <c r="A109" s="51">
        <v>25.0</v>
      </c>
      <c r="B109" s="51" t="s">
        <v>511</v>
      </c>
      <c r="C109" s="51" t="s">
        <v>192</v>
      </c>
      <c r="D109" s="51" t="s">
        <v>308</v>
      </c>
      <c r="E109" s="51" t="s">
        <v>344</v>
      </c>
      <c r="F109" s="51" t="s">
        <v>345</v>
      </c>
      <c r="G109" s="52"/>
      <c r="H109" s="52">
        <v>7.0</v>
      </c>
      <c r="I109" s="52">
        <v>7.0</v>
      </c>
      <c r="J109" s="51" t="s">
        <v>342</v>
      </c>
    </row>
    <row r="110" ht="15.0" customHeight="1">
      <c r="A110" s="51">
        <v>25.0</v>
      </c>
      <c r="B110" s="51" t="s">
        <v>511</v>
      </c>
      <c r="C110" s="51" t="s">
        <v>192</v>
      </c>
      <c r="D110" s="51" t="s">
        <v>308</v>
      </c>
      <c r="E110" s="51" t="s">
        <v>347</v>
      </c>
      <c r="F110" s="51" t="s">
        <v>341</v>
      </c>
      <c r="G110" s="52">
        <v>30.0</v>
      </c>
      <c r="H110" s="52"/>
      <c r="I110" s="52">
        <v>30.0</v>
      </c>
      <c r="J110" s="51" t="s">
        <v>342</v>
      </c>
    </row>
    <row r="111" ht="15.0" customHeight="1">
      <c r="A111" s="51">
        <v>25.0</v>
      </c>
      <c r="B111" s="51" t="s">
        <v>511</v>
      </c>
      <c r="C111" s="51" t="s">
        <v>192</v>
      </c>
      <c r="D111" s="51" t="s">
        <v>308</v>
      </c>
      <c r="E111" s="51" t="s">
        <v>351</v>
      </c>
      <c r="F111" s="51" t="s">
        <v>341</v>
      </c>
      <c r="G111" s="52">
        <v>79.9396681749623</v>
      </c>
      <c r="H111" s="52"/>
      <c r="I111" s="52">
        <v>79.9396681749623</v>
      </c>
      <c r="J111" s="51" t="s">
        <v>342</v>
      </c>
    </row>
    <row r="112" ht="15.0" customHeight="1">
      <c r="A112" s="51">
        <v>25.0</v>
      </c>
      <c r="B112" s="51" t="s">
        <v>511</v>
      </c>
      <c r="C112" s="51" t="s">
        <v>192</v>
      </c>
      <c r="D112" s="51" t="s">
        <v>308</v>
      </c>
      <c r="E112" s="51" t="s">
        <v>352</v>
      </c>
      <c r="F112" s="51" t="s">
        <v>341</v>
      </c>
      <c r="G112" s="52">
        <v>0.39215686274509814</v>
      </c>
      <c r="H112" s="52"/>
      <c r="I112" s="52">
        <v>0.39215686274509814</v>
      </c>
      <c r="J112" s="51" t="s">
        <v>342</v>
      </c>
    </row>
    <row r="113" ht="15.0" customHeight="1">
      <c r="A113" s="51">
        <v>25.0</v>
      </c>
      <c r="B113" s="51" t="s">
        <v>511</v>
      </c>
      <c r="C113" s="51" t="s">
        <v>192</v>
      </c>
      <c r="D113" s="51" t="s">
        <v>308</v>
      </c>
      <c r="E113" s="51" t="s">
        <v>353</v>
      </c>
      <c r="F113" s="51" t="s">
        <v>354</v>
      </c>
      <c r="G113" s="52">
        <v>15.07295625942685</v>
      </c>
      <c r="H113" s="52">
        <v>15.092956259426849</v>
      </c>
      <c r="I113" s="52">
        <v>15.08295625942685</v>
      </c>
      <c r="J113" s="51" t="s">
        <v>342</v>
      </c>
    </row>
    <row r="114" ht="15.0" customHeight="1">
      <c r="A114" s="51">
        <v>27.0</v>
      </c>
      <c r="B114" s="51" t="s">
        <v>200</v>
      </c>
      <c r="C114" s="51" t="s">
        <v>192</v>
      </c>
      <c r="D114" s="51" t="s">
        <v>308</v>
      </c>
      <c r="E114" s="51" t="s">
        <v>340</v>
      </c>
      <c r="F114" s="51" t="s">
        <v>341</v>
      </c>
      <c r="G114" s="52">
        <v>0.6026058631921825</v>
      </c>
      <c r="H114" s="52"/>
      <c r="I114" s="52">
        <v>0.6026058631921825</v>
      </c>
      <c r="J114" s="51" t="s">
        <v>342</v>
      </c>
    </row>
    <row r="115" ht="15.0" customHeight="1">
      <c r="A115" s="51">
        <v>27.0</v>
      </c>
      <c r="B115" s="51" t="s">
        <v>200</v>
      </c>
      <c r="C115" s="51" t="s">
        <v>192</v>
      </c>
      <c r="D115" s="51" t="s">
        <v>308</v>
      </c>
      <c r="E115" s="51" t="s">
        <v>343</v>
      </c>
      <c r="F115" s="51" t="s">
        <v>341</v>
      </c>
      <c r="G115" s="52">
        <v>1.48</v>
      </c>
      <c r="H115" s="52"/>
      <c r="I115" s="52">
        <v>1.48</v>
      </c>
      <c r="J115" s="51" t="s">
        <v>342</v>
      </c>
    </row>
    <row r="116" ht="15.0" customHeight="1">
      <c r="A116" s="51">
        <v>27.0</v>
      </c>
      <c r="B116" s="51" t="s">
        <v>200</v>
      </c>
      <c r="C116" s="51" t="s">
        <v>192</v>
      </c>
      <c r="D116" s="51" t="s">
        <v>308</v>
      </c>
      <c r="E116" s="51" t="s">
        <v>344</v>
      </c>
      <c r="F116" s="51" t="s">
        <v>345</v>
      </c>
      <c r="G116" s="52"/>
      <c r="H116" s="52">
        <v>7.0</v>
      </c>
      <c r="I116" s="52">
        <v>7.0</v>
      </c>
      <c r="J116" s="51" t="s">
        <v>342</v>
      </c>
    </row>
    <row r="117" ht="15.0" customHeight="1">
      <c r="A117" s="51">
        <v>27.0</v>
      </c>
      <c r="B117" s="51" t="s">
        <v>200</v>
      </c>
      <c r="C117" s="51" t="s">
        <v>192</v>
      </c>
      <c r="D117" s="51" t="s">
        <v>308</v>
      </c>
      <c r="E117" s="51" t="s">
        <v>347</v>
      </c>
      <c r="F117" s="51" t="s">
        <v>341</v>
      </c>
      <c r="G117" s="52">
        <v>30.0</v>
      </c>
      <c r="H117" s="52"/>
      <c r="I117" s="52">
        <v>30.0</v>
      </c>
      <c r="J117" s="51" t="s">
        <v>342</v>
      </c>
    </row>
    <row r="118" ht="15.0" customHeight="1">
      <c r="A118" s="51">
        <v>27.0</v>
      </c>
      <c r="B118" s="51" t="s">
        <v>200</v>
      </c>
      <c r="C118" s="51" t="s">
        <v>192</v>
      </c>
      <c r="D118" s="51" t="s">
        <v>308</v>
      </c>
      <c r="E118" s="51" t="s">
        <v>351</v>
      </c>
      <c r="F118" s="51" t="s">
        <v>341</v>
      </c>
      <c r="G118" s="52">
        <v>66.77524429967427</v>
      </c>
      <c r="H118" s="52"/>
      <c r="I118" s="52">
        <v>66.77524429967427</v>
      </c>
      <c r="J118" s="51" t="s">
        <v>342</v>
      </c>
    </row>
    <row r="119" ht="15.0" customHeight="1">
      <c r="A119" s="51">
        <v>27.0</v>
      </c>
      <c r="B119" s="51" t="s">
        <v>200</v>
      </c>
      <c r="C119" s="51" t="s">
        <v>192</v>
      </c>
      <c r="D119" s="51" t="s">
        <v>308</v>
      </c>
      <c r="E119" s="51" t="s">
        <v>352</v>
      </c>
      <c r="F119" s="51" t="s">
        <v>341</v>
      </c>
      <c r="G119" s="52">
        <v>0.40716612377850164</v>
      </c>
      <c r="H119" s="52"/>
      <c r="I119" s="52">
        <v>0.40716612377850164</v>
      </c>
      <c r="J119" s="51" t="s">
        <v>342</v>
      </c>
    </row>
    <row r="120" ht="15.0" customHeight="1">
      <c r="A120" s="51">
        <v>27.0</v>
      </c>
      <c r="B120" s="51" t="s">
        <v>200</v>
      </c>
      <c r="C120" s="51" t="s">
        <v>192</v>
      </c>
      <c r="D120" s="51" t="s">
        <v>308</v>
      </c>
      <c r="E120" s="51" t="s">
        <v>353</v>
      </c>
      <c r="F120" s="51" t="s">
        <v>354</v>
      </c>
      <c r="G120" s="52">
        <v>18.06817589576547</v>
      </c>
      <c r="H120" s="52">
        <v>18.088175895765474</v>
      </c>
      <c r="I120" s="52">
        <v>18.078175895765472</v>
      </c>
      <c r="J120" s="51" t="s">
        <v>342</v>
      </c>
    </row>
    <row r="121" ht="15.0" customHeight="1">
      <c r="A121" s="51">
        <v>28.0</v>
      </c>
      <c r="B121" s="51" t="s">
        <v>200</v>
      </c>
      <c r="C121" s="51" t="s">
        <v>192</v>
      </c>
      <c r="D121" s="51" t="s">
        <v>308</v>
      </c>
      <c r="E121" s="51" t="s">
        <v>340</v>
      </c>
      <c r="F121" s="51" t="s">
        <v>341</v>
      </c>
      <c r="G121" s="52">
        <v>0.6228956228956228</v>
      </c>
      <c r="H121" s="52"/>
      <c r="I121" s="52">
        <v>0.6228956228956228</v>
      </c>
      <c r="J121" s="51" t="s">
        <v>342</v>
      </c>
    </row>
    <row r="122" ht="15.0" customHeight="1">
      <c r="A122" s="51">
        <v>28.0</v>
      </c>
      <c r="B122" s="51" t="s">
        <v>200</v>
      </c>
      <c r="C122" s="51" t="s">
        <v>192</v>
      </c>
      <c r="D122" s="51" t="s">
        <v>308</v>
      </c>
      <c r="E122" s="51" t="s">
        <v>343</v>
      </c>
      <c r="F122" s="51" t="s">
        <v>341</v>
      </c>
      <c r="G122" s="52">
        <v>1.48</v>
      </c>
      <c r="H122" s="52"/>
      <c r="I122" s="52">
        <v>1.48</v>
      </c>
      <c r="J122" s="51" t="s">
        <v>342</v>
      </c>
    </row>
    <row r="123" ht="15.0" customHeight="1">
      <c r="A123" s="51">
        <v>28.0</v>
      </c>
      <c r="B123" s="51" t="s">
        <v>200</v>
      </c>
      <c r="C123" s="51" t="s">
        <v>192</v>
      </c>
      <c r="D123" s="51" t="s">
        <v>308</v>
      </c>
      <c r="E123" s="51" t="s">
        <v>344</v>
      </c>
      <c r="F123" s="51" t="s">
        <v>345</v>
      </c>
      <c r="G123" s="52"/>
      <c r="H123" s="52">
        <v>7.0</v>
      </c>
      <c r="I123" s="52">
        <v>7.0</v>
      </c>
      <c r="J123" s="51" t="s">
        <v>342</v>
      </c>
    </row>
    <row r="124" ht="15.0" customHeight="1">
      <c r="A124" s="51">
        <v>28.0</v>
      </c>
      <c r="B124" s="51" t="s">
        <v>200</v>
      </c>
      <c r="C124" s="51" t="s">
        <v>192</v>
      </c>
      <c r="D124" s="51" t="s">
        <v>308</v>
      </c>
      <c r="E124" s="51" t="s">
        <v>347</v>
      </c>
      <c r="F124" s="51" t="s">
        <v>341</v>
      </c>
      <c r="G124" s="52">
        <v>30.0</v>
      </c>
      <c r="H124" s="52"/>
      <c r="I124" s="52">
        <v>30.0</v>
      </c>
      <c r="J124" s="51" t="s">
        <v>342</v>
      </c>
    </row>
    <row r="125" ht="15.0" customHeight="1">
      <c r="A125" s="51">
        <v>28.0</v>
      </c>
      <c r="B125" s="51" t="s">
        <v>200</v>
      </c>
      <c r="C125" s="51" t="s">
        <v>192</v>
      </c>
      <c r="D125" s="51" t="s">
        <v>308</v>
      </c>
      <c r="E125" s="51" t="s">
        <v>351</v>
      </c>
      <c r="F125" s="51" t="s">
        <v>341</v>
      </c>
      <c r="G125" s="52">
        <v>65.65656565656566</v>
      </c>
      <c r="H125" s="52"/>
      <c r="I125" s="52">
        <v>65.65656565656566</v>
      </c>
      <c r="J125" s="51" t="s">
        <v>342</v>
      </c>
    </row>
    <row r="126" ht="15.0" customHeight="1">
      <c r="A126" s="51">
        <v>28.0</v>
      </c>
      <c r="B126" s="51" t="s">
        <v>200</v>
      </c>
      <c r="C126" s="51" t="s">
        <v>192</v>
      </c>
      <c r="D126" s="51" t="s">
        <v>308</v>
      </c>
      <c r="E126" s="51" t="s">
        <v>352</v>
      </c>
      <c r="F126" s="51" t="s">
        <v>341</v>
      </c>
      <c r="G126" s="52">
        <v>0.42087542087542085</v>
      </c>
      <c r="H126" s="52"/>
      <c r="I126" s="52">
        <v>0.42087542087542085</v>
      </c>
      <c r="J126" s="51" t="s">
        <v>342</v>
      </c>
    </row>
    <row r="127" ht="15.0" customHeight="1">
      <c r="A127" s="51">
        <v>28.0</v>
      </c>
      <c r="B127" s="51" t="s">
        <v>200</v>
      </c>
      <c r="C127" s="51" t="s">
        <v>192</v>
      </c>
      <c r="D127" s="51" t="s">
        <v>308</v>
      </c>
      <c r="E127" s="51" t="s">
        <v>353</v>
      </c>
      <c r="F127" s="51" t="s">
        <v>354</v>
      </c>
      <c r="G127" s="52">
        <v>18.676868686868687</v>
      </c>
      <c r="H127" s="52">
        <v>18.69686868686869</v>
      </c>
      <c r="I127" s="52">
        <v>18.68686868686869</v>
      </c>
      <c r="J127" s="51" t="s">
        <v>342</v>
      </c>
    </row>
    <row r="128" ht="15.0" customHeight="1">
      <c r="A128" s="51">
        <v>29.0</v>
      </c>
      <c r="B128" s="51" t="s">
        <v>205</v>
      </c>
      <c r="C128" s="51" t="s">
        <v>192</v>
      </c>
      <c r="D128" s="51" t="s">
        <v>308</v>
      </c>
      <c r="E128" s="51" t="s">
        <v>340</v>
      </c>
      <c r="F128" s="51" t="s">
        <v>341</v>
      </c>
      <c r="G128" s="52">
        <v>0.39473684210526316</v>
      </c>
      <c r="H128" s="52"/>
      <c r="I128" s="52">
        <v>0.39473684210526316</v>
      </c>
      <c r="J128" s="51" t="s">
        <v>342</v>
      </c>
    </row>
    <row r="129" ht="15.0" customHeight="1">
      <c r="A129" s="51">
        <v>29.0</v>
      </c>
      <c r="B129" s="51" t="s">
        <v>205</v>
      </c>
      <c r="C129" s="51" t="s">
        <v>192</v>
      </c>
      <c r="D129" s="51" t="s">
        <v>308</v>
      </c>
      <c r="E129" s="51" t="s">
        <v>343</v>
      </c>
      <c r="F129" s="51" t="s">
        <v>341</v>
      </c>
      <c r="G129" s="52">
        <v>1.4285714285714284</v>
      </c>
      <c r="H129" s="52"/>
      <c r="I129" s="52">
        <v>1.4285714285714284</v>
      </c>
      <c r="J129" s="51" t="s">
        <v>342</v>
      </c>
    </row>
    <row r="130" ht="15.0" customHeight="1">
      <c r="A130" s="51">
        <v>29.0</v>
      </c>
      <c r="B130" s="51" t="s">
        <v>205</v>
      </c>
      <c r="C130" s="51" t="s">
        <v>192</v>
      </c>
      <c r="D130" s="51" t="s">
        <v>308</v>
      </c>
      <c r="E130" s="51" t="s">
        <v>344</v>
      </c>
      <c r="F130" s="51" t="s">
        <v>345</v>
      </c>
      <c r="G130" s="52"/>
      <c r="H130" s="52">
        <v>7.0</v>
      </c>
      <c r="I130" s="52">
        <v>7.0</v>
      </c>
      <c r="J130" s="51" t="s">
        <v>342</v>
      </c>
    </row>
    <row r="131" ht="15.0" customHeight="1">
      <c r="A131" s="51">
        <v>29.0</v>
      </c>
      <c r="B131" s="51" t="s">
        <v>205</v>
      </c>
      <c r="C131" s="51" t="s">
        <v>192</v>
      </c>
      <c r="D131" s="51" t="s">
        <v>308</v>
      </c>
      <c r="E131" s="51" t="s">
        <v>347</v>
      </c>
      <c r="F131" s="51" t="s">
        <v>341</v>
      </c>
      <c r="G131" s="52">
        <v>30.0</v>
      </c>
      <c r="H131" s="52"/>
      <c r="I131" s="52">
        <v>30.0</v>
      </c>
      <c r="J131" s="51" t="s">
        <v>342</v>
      </c>
    </row>
    <row r="132" ht="15.0" customHeight="1">
      <c r="A132" s="51">
        <v>29.0</v>
      </c>
      <c r="B132" s="51" t="s">
        <v>205</v>
      </c>
      <c r="C132" s="51" t="s">
        <v>192</v>
      </c>
      <c r="D132" s="51" t="s">
        <v>308</v>
      </c>
      <c r="E132" s="51" t="s">
        <v>351</v>
      </c>
      <c r="F132" s="51" t="s">
        <v>341</v>
      </c>
      <c r="G132" s="52">
        <v>65.78947368421053</v>
      </c>
      <c r="H132" s="52"/>
      <c r="I132" s="52">
        <v>65.78947368421053</v>
      </c>
      <c r="J132" s="51" t="s">
        <v>342</v>
      </c>
    </row>
    <row r="133" ht="15.0" customHeight="1">
      <c r="A133" s="51">
        <v>29.0</v>
      </c>
      <c r="B133" s="51" t="s">
        <v>205</v>
      </c>
      <c r="C133" s="51" t="s">
        <v>192</v>
      </c>
      <c r="D133" s="51" t="s">
        <v>308</v>
      </c>
      <c r="E133" s="51" t="s">
        <v>352</v>
      </c>
      <c r="F133" s="51" t="s">
        <v>341</v>
      </c>
      <c r="G133" s="52">
        <v>0.27631578947368424</v>
      </c>
      <c r="H133" s="52"/>
      <c r="I133" s="52">
        <v>0.27631578947368424</v>
      </c>
      <c r="J133" s="51" t="s">
        <v>342</v>
      </c>
    </row>
    <row r="134" ht="15.0" customHeight="1">
      <c r="A134" s="51">
        <v>29.0</v>
      </c>
      <c r="B134" s="51" t="s">
        <v>205</v>
      </c>
      <c r="C134" s="51" t="s">
        <v>192</v>
      </c>
      <c r="D134" s="51" t="s">
        <v>308</v>
      </c>
      <c r="E134" s="51" t="s">
        <v>353</v>
      </c>
      <c r="F134" s="51" t="s">
        <v>354</v>
      </c>
      <c r="G134" s="52">
        <v>12.22684210526316</v>
      </c>
      <c r="H134" s="52">
        <v>12.246842105263159</v>
      </c>
      <c r="I134" s="52">
        <v>12.23684210526316</v>
      </c>
      <c r="J134" s="51" t="s">
        <v>342</v>
      </c>
    </row>
    <row r="135" ht="15.0" customHeight="1">
      <c r="A135" s="51">
        <v>30.0</v>
      </c>
      <c r="B135" s="51" t="s">
        <v>214</v>
      </c>
      <c r="C135" s="51" t="s">
        <v>192</v>
      </c>
      <c r="D135" s="51" t="s">
        <v>308</v>
      </c>
      <c r="E135" s="51" t="s">
        <v>340</v>
      </c>
      <c r="F135" s="51" t="s">
        <v>341</v>
      </c>
      <c r="G135" s="52">
        <v>0.6026058631921825</v>
      </c>
      <c r="H135" s="52"/>
      <c r="I135" s="52">
        <v>0.6026058631921825</v>
      </c>
      <c r="J135" s="51" t="s">
        <v>342</v>
      </c>
    </row>
    <row r="136" ht="15.0" customHeight="1">
      <c r="A136" s="51">
        <v>30.0</v>
      </c>
      <c r="B136" s="51" t="s">
        <v>214</v>
      </c>
      <c r="C136" s="51" t="s">
        <v>192</v>
      </c>
      <c r="D136" s="51" t="s">
        <v>308</v>
      </c>
      <c r="E136" s="51" t="s">
        <v>343</v>
      </c>
      <c r="F136" s="51" t="s">
        <v>341</v>
      </c>
      <c r="G136" s="52">
        <v>1.48</v>
      </c>
      <c r="H136" s="52"/>
      <c r="I136" s="52">
        <v>1.48</v>
      </c>
      <c r="J136" s="51" t="s">
        <v>342</v>
      </c>
    </row>
    <row r="137" ht="15.0" customHeight="1">
      <c r="A137" s="51">
        <v>30.0</v>
      </c>
      <c r="B137" s="51" t="s">
        <v>214</v>
      </c>
      <c r="C137" s="51" t="s">
        <v>192</v>
      </c>
      <c r="D137" s="51" t="s">
        <v>308</v>
      </c>
      <c r="E137" s="51" t="s">
        <v>344</v>
      </c>
      <c r="F137" s="51" t="s">
        <v>345</v>
      </c>
      <c r="G137" s="52"/>
      <c r="H137" s="52">
        <v>7.0</v>
      </c>
      <c r="I137" s="52">
        <v>7.0</v>
      </c>
      <c r="J137" s="51" t="s">
        <v>342</v>
      </c>
    </row>
    <row r="138" ht="15.0" customHeight="1">
      <c r="A138" s="51">
        <v>30.0</v>
      </c>
      <c r="B138" s="51" t="s">
        <v>214</v>
      </c>
      <c r="C138" s="51" t="s">
        <v>192</v>
      </c>
      <c r="D138" s="51" t="s">
        <v>308</v>
      </c>
      <c r="E138" s="51" t="s">
        <v>347</v>
      </c>
      <c r="F138" s="51" t="s">
        <v>341</v>
      </c>
      <c r="G138" s="52">
        <v>30.0</v>
      </c>
      <c r="H138" s="52"/>
      <c r="I138" s="52">
        <v>30.0</v>
      </c>
      <c r="J138" s="51" t="s">
        <v>342</v>
      </c>
    </row>
    <row r="139" ht="15.0" customHeight="1">
      <c r="A139" s="51">
        <v>30.0</v>
      </c>
      <c r="B139" s="51" t="s">
        <v>214</v>
      </c>
      <c r="C139" s="51" t="s">
        <v>192</v>
      </c>
      <c r="D139" s="51" t="s">
        <v>308</v>
      </c>
      <c r="E139" s="51" t="s">
        <v>351</v>
      </c>
      <c r="F139" s="51" t="s">
        <v>341</v>
      </c>
      <c r="G139" s="52">
        <v>66.77524429967427</v>
      </c>
      <c r="H139" s="52"/>
      <c r="I139" s="52">
        <v>66.77524429967427</v>
      </c>
      <c r="J139" s="51" t="s">
        <v>342</v>
      </c>
    </row>
    <row r="140" ht="15.0" customHeight="1">
      <c r="A140" s="51">
        <v>30.0</v>
      </c>
      <c r="B140" s="51" t="s">
        <v>214</v>
      </c>
      <c r="C140" s="51" t="s">
        <v>192</v>
      </c>
      <c r="D140" s="51" t="s">
        <v>308</v>
      </c>
      <c r="E140" s="51" t="s">
        <v>352</v>
      </c>
      <c r="F140" s="51" t="s">
        <v>341</v>
      </c>
      <c r="G140" s="52">
        <v>0.40716612377850164</v>
      </c>
      <c r="H140" s="52"/>
      <c r="I140" s="52">
        <v>0.40716612377850164</v>
      </c>
      <c r="J140" s="51" t="s">
        <v>342</v>
      </c>
    </row>
    <row r="141" ht="15.0" customHeight="1">
      <c r="A141" s="51">
        <v>30.0</v>
      </c>
      <c r="B141" s="51" t="s">
        <v>214</v>
      </c>
      <c r="C141" s="51" t="s">
        <v>192</v>
      </c>
      <c r="D141" s="51" t="s">
        <v>308</v>
      </c>
      <c r="E141" s="51" t="s">
        <v>353</v>
      </c>
      <c r="F141" s="51" t="s">
        <v>354</v>
      </c>
      <c r="G141" s="52">
        <v>18.06817589576547</v>
      </c>
      <c r="H141" s="52">
        <v>18.088175895765474</v>
      </c>
      <c r="I141" s="52">
        <v>18.078175895765472</v>
      </c>
      <c r="J141" s="51" t="s">
        <v>342</v>
      </c>
    </row>
    <row r="142" ht="15.0" customHeight="1">
      <c r="A142" s="51">
        <v>31.0</v>
      </c>
      <c r="B142" s="51" t="s">
        <v>518</v>
      </c>
      <c r="C142" s="51" t="s">
        <v>192</v>
      </c>
      <c r="D142" s="51" t="s">
        <v>308</v>
      </c>
      <c r="E142" s="51" t="s">
        <v>340</v>
      </c>
      <c r="F142" s="51" t="s">
        <v>341</v>
      </c>
      <c r="G142" s="52">
        <v>0.2625</v>
      </c>
      <c r="H142" s="52"/>
      <c r="I142" s="52">
        <v>0.2625</v>
      </c>
      <c r="J142" s="51" t="s">
        <v>342</v>
      </c>
    </row>
    <row r="143" ht="15.0" customHeight="1">
      <c r="A143" s="51">
        <v>31.0</v>
      </c>
      <c r="B143" s="51" t="s">
        <v>518</v>
      </c>
      <c r="C143" s="51" t="s">
        <v>192</v>
      </c>
      <c r="D143" s="51" t="s">
        <v>308</v>
      </c>
      <c r="E143" s="51" t="s">
        <v>343</v>
      </c>
      <c r="F143" s="51" t="s">
        <v>341</v>
      </c>
      <c r="G143" s="52">
        <v>1.135135135135135</v>
      </c>
      <c r="H143" s="52"/>
      <c r="I143" s="52">
        <v>1.135135135135135</v>
      </c>
      <c r="J143" s="51" t="s">
        <v>342</v>
      </c>
    </row>
    <row r="144" ht="15.0" customHeight="1">
      <c r="A144" s="51">
        <v>31.0</v>
      </c>
      <c r="B144" s="51" t="s">
        <v>518</v>
      </c>
      <c r="C144" s="51" t="s">
        <v>192</v>
      </c>
      <c r="D144" s="51" t="s">
        <v>308</v>
      </c>
      <c r="E144" s="51" t="s">
        <v>344</v>
      </c>
      <c r="F144" s="51" t="s">
        <v>345</v>
      </c>
      <c r="G144" s="52"/>
      <c r="H144" s="52">
        <v>7.0</v>
      </c>
      <c r="I144" s="52">
        <v>7.0</v>
      </c>
      <c r="J144" s="51" t="s">
        <v>342</v>
      </c>
    </row>
    <row r="145" ht="15.0" customHeight="1">
      <c r="A145" s="51">
        <v>31.0</v>
      </c>
      <c r="B145" s="51" t="s">
        <v>518</v>
      </c>
      <c r="C145" s="51" t="s">
        <v>192</v>
      </c>
      <c r="D145" s="51" t="s">
        <v>308</v>
      </c>
      <c r="E145" s="51" t="s">
        <v>347</v>
      </c>
      <c r="F145" s="51" t="s">
        <v>341</v>
      </c>
      <c r="G145" s="52">
        <v>30.0</v>
      </c>
      <c r="H145" s="52"/>
      <c r="I145" s="52">
        <v>30.0</v>
      </c>
      <c r="J145" s="51" t="s">
        <v>342</v>
      </c>
    </row>
    <row r="146" ht="15.0" customHeight="1">
      <c r="A146" s="51">
        <v>31.0</v>
      </c>
      <c r="B146" s="51" t="s">
        <v>518</v>
      </c>
      <c r="C146" s="51" t="s">
        <v>192</v>
      </c>
      <c r="D146" s="51" t="s">
        <v>308</v>
      </c>
      <c r="E146" s="51" t="s">
        <v>351</v>
      </c>
      <c r="F146" s="51" t="s">
        <v>341</v>
      </c>
      <c r="G146" s="52">
        <v>53.125</v>
      </c>
      <c r="H146" s="52"/>
      <c r="I146" s="52">
        <v>53.125</v>
      </c>
      <c r="J146" s="51" t="s">
        <v>342</v>
      </c>
    </row>
    <row r="147" ht="15.0" customHeight="1">
      <c r="A147" s="51">
        <v>31.0</v>
      </c>
      <c r="B147" s="51" t="s">
        <v>518</v>
      </c>
      <c r="C147" s="51" t="s">
        <v>192</v>
      </c>
      <c r="D147" s="51" t="s">
        <v>308</v>
      </c>
      <c r="E147" s="51" t="s">
        <v>352</v>
      </c>
      <c r="F147" s="51" t="s">
        <v>341</v>
      </c>
      <c r="G147" s="52">
        <v>0.23125000000000004</v>
      </c>
      <c r="H147" s="52"/>
      <c r="I147" s="52">
        <v>0.23125000000000004</v>
      </c>
      <c r="J147" s="51" t="s">
        <v>342</v>
      </c>
    </row>
    <row r="148" ht="15.0" customHeight="1">
      <c r="A148" s="51">
        <v>31.0</v>
      </c>
      <c r="B148" s="51" t="s">
        <v>518</v>
      </c>
      <c r="C148" s="51" t="s">
        <v>192</v>
      </c>
      <c r="D148" s="51" t="s">
        <v>308</v>
      </c>
      <c r="E148" s="51" t="s">
        <v>353</v>
      </c>
      <c r="F148" s="51" t="s">
        <v>354</v>
      </c>
      <c r="G148" s="52">
        <v>9.74</v>
      </c>
      <c r="H148" s="52">
        <v>9.76</v>
      </c>
      <c r="I148" s="52">
        <v>9.75</v>
      </c>
      <c r="J148" s="51" t="s">
        <v>342</v>
      </c>
    </row>
    <row r="149" ht="15.0" customHeight="1">
      <c r="A149" s="51">
        <v>32.0</v>
      </c>
      <c r="B149" s="51" t="s">
        <v>219</v>
      </c>
      <c r="C149" s="51" t="s">
        <v>192</v>
      </c>
      <c r="D149" s="51" t="s">
        <v>308</v>
      </c>
      <c r="E149" s="51" t="s">
        <v>340</v>
      </c>
      <c r="F149" s="51" t="s">
        <v>341</v>
      </c>
      <c r="G149" s="52">
        <v>0.4414893617021277</v>
      </c>
      <c r="H149" s="52"/>
      <c r="I149" s="52">
        <v>0.4414893617021277</v>
      </c>
      <c r="J149" s="51" t="s">
        <v>342</v>
      </c>
    </row>
    <row r="150" ht="15.0" customHeight="1">
      <c r="A150" s="51">
        <v>32.0</v>
      </c>
      <c r="B150" s="51" t="s">
        <v>219</v>
      </c>
      <c r="C150" s="51" t="s">
        <v>192</v>
      </c>
      <c r="D150" s="51" t="s">
        <v>308</v>
      </c>
      <c r="E150" s="51" t="s">
        <v>343</v>
      </c>
      <c r="F150" s="51" t="s">
        <v>341</v>
      </c>
      <c r="G150" s="52">
        <v>1.1857142857142857</v>
      </c>
      <c r="H150" s="52"/>
      <c r="I150" s="52">
        <v>1.1857142857142857</v>
      </c>
      <c r="J150" s="51" t="s">
        <v>342</v>
      </c>
    </row>
    <row r="151" ht="15.0" customHeight="1">
      <c r="A151" s="51">
        <v>32.0</v>
      </c>
      <c r="B151" s="51" t="s">
        <v>219</v>
      </c>
      <c r="C151" s="51" t="s">
        <v>192</v>
      </c>
      <c r="D151" s="51" t="s">
        <v>308</v>
      </c>
      <c r="E151" s="51" t="s">
        <v>344</v>
      </c>
      <c r="F151" s="51" t="s">
        <v>345</v>
      </c>
      <c r="G151" s="52"/>
      <c r="H151" s="52">
        <v>7.0</v>
      </c>
      <c r="I151" s="52">
        <v>7.0</v>
      </c>
      <c r="J151" s="51" t="s">
        <v>342</v>
      </c>
    </row>
    <row r="152" ht="15.0" customHeight="1">
      <c r="A152" s="51">
        <v>32.0</v>
      </c>
      <c r="B152" s="51" t="s">
        <v>219</v>
      </c>
      <c r="C152" s="51" t="s">
        <v>192</v>
      </c>
      <c r="D152" s="51" t="s">
        <v>308</v>
      </c>
      <c r="E152" s="51" t="s">
        <v>347</v>
      </c>
      <c r="F152" s="51" t="s">
        <v>341</v>
      </c>
      <c r="G152" s="52">
        <v>30.0</v>
      </c>
      <c r="H152" s="52"/>
      <c r="I152" s="52">
        <v>30.0</v>
      </c>
      <c r="J152" s="51" t="s">
        <v>342</v>
      </c>
    </row>
    <row r="153" ht="15.0" customHeight="1">
      <c r="A153" s="51">
        <v>32.0</v>
      </c>
      <c r="B153" s="51" t="s">
        <v>219</v>
      </c>
      <c r="C153" s="51" t="s">
        <v>192</v>
      </c>
      <c r="D153" s="51" t="s">
        <v>308</v>
      </c>
      <c r="E153" s="51" t="s">
        <v>351</v>
      </c>
      <c r="F153" s="51" t="s">
        <v>341</v>
      </c>
      <c r="G153" s="52">
        <v>65.95744680851064</v>
      </c>
      <c r="H153" s="52"/>
      <c r="I153" s="52">
        <v>65.95744680851064</v>
      </c>
      <c r="J153" s="51" t="s">
        <v>342</v>
      </c>
    </row>
    <row r="154" ht="15.0" customHeight="1">
      <c r="A154" s="51">
        <v>32.0</v>
      </c>
      <c r="B154" s="51" t="s">
        <v>219</v>
      </c>
      <c r="C154" s="51" t="s">
        <v>192</v>
      </c>
      <c r="D154" s="51" t="s">
        <v>308</v>
      </c>
      <c r="E154" s="51" t="s">
        <v>352</v>
      </c>
      <c r="F154" s="51" t="s">
        <v>341</v>
      </c>
      <c r="G154" s="52">
        <v>0.37234042553191493</v>
      </c>
      <c r="H154" s="52"/>
      <c r="I154" s="52">
        <v>0.37234042553191493</v>
      </c>
      <c r="J154" s="51" t="s">
        <v>342</v>
      </c>
    </row>
    <row r="155" ht="15.0" customHeight="1">
      <c r="A155" s="51">
        <v>32.0</v>
      </c>
      <c r="B155" s="51" t="s">
        <v>219</v>
      </c>
      <c r="C155" s="51" t="s">
        <v>192</v>
      </c>
      <c r="D155" s="51" t="s">
        <v>308</v>
      </c>
      <c r="E155" s="51" t="s">
        <v>353</v>
      </c>
      <c r="F155" s="51" t="s">
        <v>354</v>
      </c>
      <c r="G155" s="52">
        <v>15.787872340425535</v>
      </c>
      <c r="H155" s="52">
        <v>15.807872340425535</v>
      </c>
      <c r="I155" s="52">
        <v>15.797872340425535</v>
      </c>
      <c r="J155" s="51" t="s">
        <v>342</v>
      </c>
    </row>
    <row r="156" ht="15.0" customHeight="1">
      <c r="A156" s="51">
        <v>33.0</v>
      </c>
      <c r="B156" s="51" t="s">
        <v>369</v>
      </c>
      <c r="C156" s="51" t="s">
        <v>192</v>
      </c>
      <c r="D156" s="51" t="s">
        <v>308</v>
      </c>
      <c r="E156" s="51" t="s">
        <v>340</v>
      </c>
      <c r="F156" s="51" t="s">
        <v>341</v>
      </c>
      <c r="G156" s="52">
        <v>0.6228956228956228</v>
      </c>
      <c r="H156" s="52"/>
      <c r="I156" s="52">
        <v>0.6228956228956228</v>
      </c>
      <c r="J156" s="51" t="s">
        <v>342</v>
      </c>
    </row>
    <row r="157" ht="15.0" customHeight="1">
      <c r="A157" s="51">
        <v>33.0</v>
      </c>
      <c r="B157" s="51" t="s">
        <v>369</v>
      </c>
      <c r="C157" s="51" t="s">
        <v>192</v>
      </c>
      <c r="D157" s="51" t="s">
        <v>308</v>
      </c>
      <c r="E157" s="51" t="s">
        <v>343</v>
      </c>
      <c r="F157" s="51" t="s">
        <v>341</v>
      </c>
      <c r="G157" s="52">
        <v>1.48</v>
      </c>
      <c r="H157" s="52"/>
      <c r="I157" s="52">
        <v>1.48</v>
      </c>
      <c r="J157" s="51" t="s">
        <v>342</v>
      </c>
    </row>
    <row r="158" ht="15.0" customHeight="1">
      <c r="A158" s="51">
        <v>33.0</v>
      </c>
      <c r="B158" s="51" t="s">
        <v>369</v>
      </c>
      <c r="C158" s="51" t="s">
        <v>192</v>
      </c>
      <c r="D158" s="51" t="s">
        <v>308</v>
      </c>
      <c r="E158" s="51" t="s">
        <v>344</v>
      </c>
      <c r="F158" s="51" t="s">
        <v>345</v>
      </c>
      <c r="G158" s="52"/>
      <c r="H158" s="52">
        <v>7.0</v>
      </c>
      <c r="I158" s="52">
        <v>7.0</v>
      </c>
      <c r="J158" s="51" t="s">
        <v>342</v>
      </c>
    </row>
    <row r="159" ht="15.0" customHeight="1">
      <c r="A159" s="51">
        <v>33.0</v>
      </c>
      <c r="B159" s="51" t="s">
        <v>369</v>
      </c>
      <c r="C159" s="51" t="s">
        <v>192</v>
      </c>
      <c r="D159" s="51" t="s">
        <v>308</v>
      </c>
      <c r="E159" s="51" t="s">
        <v>347</v>
      </c>
      <c r="F159" s="51" t="s">
        <v>341</v>
      </c>
      <c r="G159" s="52">
        <v>30.0</v>
      </c>
      <c r="H159" s="52"/>
      <c r="I159" s="52">
        <v>30.0</v>
      </c>
      <c r="J159" s="51" t="s">
        <v>342</v>
      </c>
    </row>
    <row r="160" ht="15.0" customHeight="1">
      <c r="A160" s="51">
        <v>33.0</v>
      </c>
      <c r="B160" s="51" t="s">
        <v>369</v>
      </c>
      <c r="C160" s="51" t="s">
        <v>192</v>
      </c>
      <c r="D160" s="51" t="s">
        <v>308</v>
      </c>
      <c r="E160" s="51" t="s">
        <v>351</v>
      </c>
      <c r="F160" s="51" t="s">
        <v>341</v>
      </c>
      <c r="G160" s="52">
        <v>65.65656565656566</v>
      </c>
      <c r="H160" s="52"/>
      <c r="I160" s="52">
        <v>65.65656565656566</v>
      </c>
      <c r="J160" s="51" t="s">
        <v>342</v>
      </c>
    </row>
    <row r="161" ht="15.0" customHeight="1">
      <c r="A161" s="51">
        <v>33.0</v>
      </c>
      <c r="B161" s="51" t="s">
        <v>369</v>
      </c>
      <c r="C161" s="51" t="s">
        <v>192</v>
      </c>
      <c r="D161" s="51" t="s">
        <v>308</v>
      </c>
      <c r="E161" s="51" t="s">
        <v>352</v>
      </c>
      <c r="F161" s="51" t="s">
        <v>341</v>
      </c>
      <c r="G161" s="52">
        <v>0.42087542087542085</v>
      </c>
      <c r="H161" s="52"/>
      <c r="I161" s="52">
        <v>0.42087542087542085</v>
      </c>
      <c r="J161" s="51" t="s">
        <v>342</v>
      </c>
    </row>
    <row r="162" ht="15.0" customHeight="1">
      <c r="A162" s="51">
        <v>33.0</v>
      </c>
      <c r="B162" s="51" t="s">
        <v>369</v>
      </c>
      <c r="C162" s="51" t="s">
        <v>192</v>
      </c>
      <c r="D162" s="51" t="s">
        <v>308</v>
      </c>
      <c r="E162" s="51" t="s">
        <v>353</v>
      </c>
      <c r="F162" s="51" t="s">
        <v>354</v>
      </c>
      <c r="G162" s="52">
        <v>18.676868686868687</v>
      </c>
      <c r="H162" s="52">
        <v>18.69686868686869</v>
      </c>
      <c r="I162" s="52">
        <v>18.68686868686869</v>
      </c>
      <c r="J162" s="51" t="s">
        <v>342</v>
      </c>
    </row>
    <row r="163" ht="15.0" customHeight="1">
      <c r="A163" s="51">
        <v>34.0</v>
      </c>
      <c r="B163" s="51" t="s">
        <v>376</v>
      </c>
      <c r="C163" s="51" t="s">
        <v>192</v>
      </c>
      <c r="D163" s="51" t="s">
        <v>308</v>
      </c>
      <c r="E163" s="51" t="s">
        <v>340</v>
      </c>
      <c r="F163" s="51" t="s">
        <v>341</v>
      </c>
      <c r="G163" s="52">
        <v>0.6228956228956228</v>
      </c>
      <c r="H163" s="52"/>
      <c r="I163" s="52">
        <v>0.6228956228956228</v>
      </c>
      <c r="J163" s="51" t="s">
        <v>342</v>
      </c>
    </row>
    <row r="164" ht="15.0" customHeight="1">
      <c r="A164" s="51">
        <v>34.0</v>
      </c>
      <c r="B164" s="51" t="s">
        <v>376</v>
      </c>
      <c r="C164" s="51" t="s">
        <v>192</v>
      </c>
      <c r="D164" s="51" t="s">
        <v>308</v>
      </c>
      <c r="E164" s="51" t="s">
        <v>343</v>
      </c>
      <c r="F164" s="51" t="s">
        <v>341</v>
      </c>
      <c r="G164" s="52">
        <v>1.48</v>
      </c>
      <c r="H164" s="52"/>
      <c r="I164" s="52">
        <v>1.48</v>
      </c>
      <c r="J164" s="51" t="s">
        <v>342</v>
      </c>
    </row>
    <row r="165" ht="15.0" customHeight="1">
      <c r="A165" s="51">
        <v>34.0</v>
      </c>
      <c r="B165" s="51" t="s">
        <v>376</v>
      </c>
      <c r="C165" s="51" t="s">
        <v>192</v>
      </c>
      <c r="D165" s="51" t="s">
        <v>308</v>
      </c>
      <c r="E165" s="51" t="s">
        <v>344</v>
      </c>
      <c r="F165" s="51" t="s">
        <v>345</v>
      </c>
      <c r="G165" s="52"/>
      <c r="H165" s="52">
        <v>7.0</v>
      </c>
      <c r="I165" s="52">
        <v>7.0</v>
      </c>
      <c r="J165" s="51" t="s">
        <v>342</v>
      </c>
    </row>
    <row r="166" ht="15.0" customHeight="1">
      <c r="A166" s="51">
        <v>34.0</v>
      </c>
      <c r="B166" s="51" t="s">
        <v>376</v>
      </c>
      <c r="C166" s="51" t="s">
        <v>192</v>
      </c>
      <c r="D166" s="51" t="s">
        <v>308</v>
      </c>
      <c r="E166" s="51" t="s">
        <v>347</v>
      </c>
      <c r="F166" s="51" t="s">
        <v>341</v>
      </c>
      <c r="G166" s="52">
        <v>30.0</v>
      </c>
      <c r="H166" s="52"/>
      <c r="I166" s="52">
        <v>30.0</v>
      </c>
      <c r="J166" s="51" t="s">
        <v>342</v>
      </c>
    </row>
    <row r="167" ht="15.0" customHeight="1">
      <c r="A167" s="51">
        <v>34.0</v>
      </c>
      <c r="B167" s="51" t="s">
        <v>376</v>
      </c>
      <c r="C167" s="51" t="s">
        <v>192</v>
      </c>
      <c r="D167" s="51" t="s">
        <v>308</v>
      </c>
      <c r="E167" s="51" t="s">
        <v>351</v>
      </c>
      <c r="F167" s="51" t="s">
        <v>341</v>
      </c>
      <c r="G167" s="52">
        <v>65.65656565656566</v>
      </c>
      <c r="H167" s="52"/>
      <c r="I167" s="52">
        <v>65.65656565656566</v>
      </c>
      <c r="J167" s="51" t="s">
        <v>342</v>
      </c>
    </row>
    <row r="168" ht="15.0" customHeight="1">
      <c r="A168" s="51">
        <v>34.0</v>
      </c>
      <c r="B168" s="51" t="s">
        <v>376</v>
      </c>
      <c r="C168" s="51" t="s">
        <v>192</v>
      </c>
      <c r="D168" s="51" t="s">
        <v>308</v>
      </c>
      <c r="E168" s="51" t="s">
        <v>352</v>
      </c>
      <c r="F168" s="51" t="s">
        <v>341</v>
      </c>
      <c r="G168" s="52">
        <v>0.42087542087542085</v>
      </c>
      <c r="H168" s="52"/>
      <c r="I168" s="52">
        <v>0.42087542087542085</v>
      </c>
      <c r="J168" s="51" t="s">
        <v>342</v>
      </c>
    </row>
    <row r="169" ht="15.0" customHeight="1">
      <c r="A169" s="51">
        <v>34.0</v>
      </c>
      <c r="B169" s="51" t="s">
        <v>376</v>
      </c>
      <c r="C169" s="51" t="s">
        <v>192</v>
      </c>
      <c r="D169" s="51" t="s">
        <v>308</v>
      </c>
      <c r="E169" s="51" t="s">
        <v>353</v>
      </c>
      <c r="F169" s="51" t="s">
        <v>354</v>
      </c>
      <c r="G169" s="52">
        <v>18.676868686868687</v>
      </c>
      <c r="H169" s="52">
        <v>18.69686868686869</v>
      </c>
      <c r="I169" s="52">
        <v>18.68686868686869</v>
      </c>
      <c r="J169" s="51" t="s">
        <v>342</v>
      </c>
    </row>
    <row r="170" ht="15.0" customHeight="1">
      <c r="A170" s="51">
        <v>35.0</v>
      </c>
      <c r="B170" s="51" t="s">
        <v>380</v>
      </c>
      <c r="C170" s="51" t="s">
        <v>192</v>
      </c>
      <c r="D170" s="51" t="s">
        <v>308</v>
      </c>
      <c r="E170" s="51" t="s">
        <v>340</v>
      </c>
      <c r="F170" s="51" t="s">
        <v>341</v>
      </c>
      <c r="G170" s="52">
        <v>0.8388157894736842</v>
      </c>
      <c r="H170" s="52"/>
      <c r="I170" s="52">
        <v>0.8388157894736842</v>
      </c>
      <c r="J170" s="51" t="s">
        <v>342</v>
      </c>
    </row>
    <row r="171" ht="15.0" customHeight="1">
      <c r="A171" s="51">
        <v>35.0</v>
      </c>
      <c r="B171" s="51" t="s">
        <v>380</v>
      </c>
      <c r="C171" s="51" t="s">
        <v>192</v>
      </c>
      <c r="D171" s="51" t="s">
        <v>308</v>
      </c>
      <c r="E171" s="51" t="s">
        <v>343</v>
      </c>
      <c r="F171" s="51" t="s">
        <v>341</v>
      </c>
      <c r="G171" s="52">
        <v>1.4571428571428573</v>
      </c>
      <c r="H171" s="52"/>
      <c r="I171" s="52">
        <v>1.4571428571428573</v>
      </c>
      <c r="J171" s="51" t="s">
        <v>342</v>
      </c>
    </row>
    <row r="172" ht="15.0" customHeight="1">
      <c r="A172" s="51">
        <v>35.0</v>
      </c>
      <c r="B172" s="51" t="s">
        <v>380</v>
      </c>
      <c r="C172" s="51" t="s">
        <v>192</v>
      </c>
      <c r="D172" s="51" t="s">
        <v>308</v>
      </c>
      <c r="E172" s="51" t="s">
        <v>344</v>
      </c>
      <c r="F172" s="51" t="s">
        <v>345</v>
      </c>
      <c r="G172" s="52"/>
      <c r="H172" s="52">
        <v>7.0</v>
      </c>
      <c r="I172" s="52">
        <v>7.0</v>
      </c>
      <c r="J172" s="51" t="s">
        <v>342</v>
      </c>
    </row>
    <row r="173" ht="15.0" customHeight="1">
      <c r="A173" s="51">
        <v>35.0</v>
      </c>
      <c r="B173" s="51" t="s">
        <v>380</v>
      </c>
      <c r="C173" s="51" t="s">
        <v>192</v>
      </c>
      <c r="D173" s="51" t="s">
        <v>308</v>
      </c>
      <c r="E173" s="51" t="s">
        <v>347</v>
      </c>
      <c r="F173" s="51" t="s">
        <v>341</v>
      </c>
      <c r="G173" s="52">
        <v>30.0</v>
      </c>
      <c r="H173" s="52"/>
      <c r="I173" s="52">
        <v>30.0</v>
      </c>
      <c r="J173" s="51" t="s">
        <v>342</v>
      </c>
    </row>
    <row r="174" ht="15.0" customHeight="1">
      <c r="A174" s="51">
        <v>35.0</v>
      </c>
      <c r="B174" s="51" t="s">
        <v>380</v>
      </c>
      <c r="C174" s="51" t="s">
        <v>192</v>
      </c>
      <c r="D174" s="51" t="s">
        <v>308</v>
      </c>
      <c r="E174" s="51" t="s">
        <v>351</v>
      </c>
      <c r="F174" s="51" t="s">
        <v>341</v>
      </c>
      <c r="G174" s="52">
        <v>78.94736842105263</v>
      </c>
      <c r="H174" s="52"/>
      <c r="I174" s="52">
        <v>78.94736842105263</v>
      </c>
      <c r="J174" s="51" t="s">
        <v>342</v>
      </c>
    </row>
    <row r="175" ht="15.0" customHeight="1">
      <c r="A175" s="51">
        <v>35.0</v>
      </c>
      <c r="B175" s="51" t="s">
        <v>380</v>
      </c>
      <c r="C175" s="51" t="s">
        <v>192</v>
      </c>
      <c r="D175" s="51" t="s">
        <v>308</v>
      </c>
      <c r="E175" s="51" t="s">
        <v>352</v>
      </c>
      <c r="F175" s="51" t="s">
        <v>341</v>
      </c>
      <c r="G175" s="52">
        <v>0.575657894736842</v>
      </c>
      <c r="H175" s="52"/>
      <c r="I175" s="52">
        <v>0.575657894736842</v>
      </c>
      <c r="J175" s="51" t="s">
        <v>342</v>
      </c>
    </row>
    <row r="176" ht="15.0" customHeight="1">
      <c r="A176" s="51">
        <v>35.0</v>
      </c>
      <c r="B176" s="51" t="s">
        <v>380</v>
      </c>
      <c r="C176" s="51" t="s">
        <v>192</v>
      </c>
      <c r="D176" s="51" t="s">
        <v>308</v>
      </c>
      <c r="E176" s="51" t="s">
        <v>353</v>
      </c>
      <c r="F176" s="51" t="s">
        <v>354</v>
      </c>
      <c r="G176" s="52">
        <v>24.332105263157892</v>
      </c>
      <c r="H176" s="52">
        <v>24.352105263157895</v>
      </c>
      <c r="I176" s="52">
        <v>24.342105263157894</v>
      </c>
      <c r="J176" s="51" t="s">
        <v>342</v>
      </c>
    </row>
    <row r="177" ht="15.0" customHeight="1">
      <c r="A177" s="51">
        <v>36.0</v>
      </c>
      <c r="B177" s="51" t="s">
        <v>387</v>
      </c>
      <c r="C177" s="51" t="s">
        <v>192</v>
      </c>
      <c r="D177" s="51" t="s">
        <v>308</v>
      </c>
      <c r="E177" s="51" t="s">
        <v>340</v>
      </c>
      <c r="F177" s="51" t="s">
        <v>341</v>
      </c>
      <c r="G177" s="52">
        <v>0.8388157894736842</v>
      </c>
      <c r="H177" s="52"/>
      <c r="I177" s="52">
        <v>0.8388157894736842</v>
      </c>
      <c r="J177" s="51" t="s">
        <v>342</v>
      </c>
    </row>
    <row r="178" ht="15.0" customHeight="1">
      <c r="A178" s="51">
        <v>36.0</v>
      </c>
      <c r="B178" s="51" t="s">
        <v>387</v>
      </c>
      <c r="C178" s="51" t="s">
        <v>192</v>
      </c>
      <c r="D178" s="51" t="s">
        <v>308</v>
      </c>
      <c r="E178" s="51" t="s">
        <v>343</v>
      </c>
      <c r="F178" s="51" t="s">
        <v>341</v>
      </c>
      <c r="G178" s="52">
        <v>1.4571428571428573</v>
      </c>
      <c r="H178" s="52"/>
      <c r="I178" s="52">
        <v>1.4571428571428573</v>
      </c>
      <c r="J178" s="51" t="s">
        <v>342</v>
      </c>
    </row>
    <row r="179" ht="15.0" customHeight="1">
      <c r="A179" s="51">
        <v>36.0</v>
      </c>
      <c r="B179" s="51" t="s">
        <v>387</v>
      </c>
      <c r="C179" s="51" t="s">
        <v>192</v>
      </c>
      <c r="D179" s="51" t="s">
        <v>308</v>
      </c>
      <c r="E179" s="51" t="s">
        <v>344</v>
      </c>
      <c r="F179" s="51" t="s">
        <v>345</v>
      </c>
      <c r="G179" s="52"/>
      <c r="H179" s="52">
        <v>7.0</v>
      </c>
      <c r="I179" s="52">
        <v>7.0</v>
      </c>
      <c r="J179" s="51" t="s">
        <v>342</v>
      </c>
    </row>
    <row r="180" ht="15.0" customHeight="1">
      <c r="A180" s="51">
        <v>36.0</v>
      </c>
      <c r="B180" s="51" t="s">
        <v>387</v>
      </c>
      <c r="C180" s="51" t="s">
        <v>192</v>
      </c>
      <c r="D180" s="51" t="s">
        <v>308</v>
      </c>
      <c r="E180" s="51" t="s">
        <v>347</v>
      </c>
      <c r="F180" s="51" t="s">
        <v>341</v>
      </c>
      <c r="G180" s="52">
        <v>30.0</v>
      </c>
      <c r="H180" s="52"/>
      <c r="I180" s="52">
        <v>30.0</v>
      </c>
      <c r="J180" s="51" t="s">
        <v>342</v>
      </c>
    </row>
    <row r="181" ht="15.0" customHeight="1">
      <c r="A181" s="51">
        <v>36.0</v>
      </c>
      <c r="B181" s="51" t="s">
        <v>387</v>
      </c>
      <c r="C181" s="51" t="s">
        <v>192</v>
      </c>
      <c r="D181" s="51" t="s">
        <v>308</v>
      </c>
      <c r="E181" s="51" t="s">
        <v>351</v>
      </c>
      <c r="F181" s="51" t="s">
        <v>341</v>
      </c>
      <c r="G181" s="52">
        <v>78.94736842105263</v>
      </c>
      <c r="H181" s="52"/>
      <c r="I181" s="52">
        <v>78.94736842105263</v>
      </c>
      <c r="J181" s="51" t="s">
        <v>342</v>
      </c>
    </row>
    <row r="182" ht="15.0" customHeight="1">
      <c r="A182" s="51">
        <v>36.0</v>
      </c>
      <c r="B182" s="51" t="s">
        <v>387</v>
      </c>
      <c r="C182" s="51" t="s">
        <v>192</v>
      </c>
      <c r="D182" s="51" t="s">
        <v>308</v>
      </c>
      <c r="E182" s="51" t="s">
        <v>352</v>
      </c>
      <c r="F182" s="51" t="s">
        <v>341</v>
      </c>
      <c r="G182" s="52">
        <v>0.575657894736842</v>
      </c>
      <c r="H182" s="52"/>
      <c r="I182" s="52">
        <v>0.575657894736842</v>
      </c>
      <c r="J182" s="51" t="s">
        <v>342</v>
      </c>
    </row>
    <row r="183" ht="15.0" customHeight="1">
      <c r="A183" s="51">
        <v>36.0</v>
      </c>
      <c r="B183" s="51" t="s">
        <v>387</v>
      </c>
      <c r="C183" s="51" t="s">
        <v>192</v>
      </c>
      <c r="D183" s="51" t="s">
        <v>308</v>
      </c>
      <c r="E183" s="51" t="s">
        <v>353</v>
      </c>
      <c r="F183" s="51" t="s">
        <v>354</v>
      </c>
      <c r="G183" s="52">
        <v>24.332105263157892</v>
      </c>
      <c r="H183" s="52">
        <v>24.352105263157895</v>
      </c>
      <c r="I183" s="52">
        <v>24.342105263157894</v>
      </c>
      <c r="J183" s="51" t="s">
        <v>342</v>
      </c>
    </row>
    <row r="184" ht="15.0" customHeight="1">
      <c r="A184" s="51">
        <v>37.0</v>
      </c>
      <c r="B184" s="51" t="s">
        <v>394</v>
      </c>
      <c r="C184" s="51" t="s">
        <v>192</v>
      </c>
      <c r="D184" s="51" t="s">
        <v>308</v>
      </c>
      <c r="E184" s="51" t="s">
        <v>340</v>
      </c>
      <c r="F184" s="51" t="s">
        <v>341</v>
      </c>
      <c r="G184" s="52">
        <v>0.389363722697056</v>
      </c>
      <c r="H184" s="52"/>
      <c r="I184" s="52">
        <v>0.389363722697056</v>
      </c>
      <c r="J184" s="51" t="s">
        <v>342</v>
      </c>
    </row>
    <row r="185" ht="15.0" customHeight="1">
      <c r="A185" s="51">
        <v>37.0</v>
      </c>
      <c r="B185" s="51" t="s">
        <v>394</v>
      </c>
      <c r="C185" s="51" t="s">
        <v>192</v>
      </c>
      <c r="D185" s="51" t="s">
        <v>308</v>
      </c>
      <c r="E185" s="51" t="s">
        <v>343</v>
      </c>
      <c r="F185" s="51" t="s">
        <v>341</v>
      </c>
      <c r="G185" s="52">
        <v>1.4137931034482756</v>
      </c>
      <c r="H185" s="52"/>
      <c r="I185" s="52">
        <v>1.4137931034482756</v>
      </c>
      <c r="J185" s="51" t="s">
        <v>342</v>
      </c>
    </row>
    <row r="186" ht="15.0" customHeight="1">
      <c r="A186" s="51">
        <v>37.0</v>
      </c>
      <c r="B186" s="51" t="s">
        <v>394</v>
      </c>
      <c r="C186" s="51" t="s">
        <v>192</v>
      </c>
      <c r="D186" s="51" t="s">
        <v>308</v>
      </c>
      <c r="E186" s="51" t="s">
        <v>344</v>
      </c>
      <c r="F186" s="51" t="s">
        <v>345</v>
      </c>
      <c r="G186" s="52"/>
      <c r="H186" s="52">
        <v>7.0</v>
      </c>
      <c r="I186" s="52">
        <v>7.0</v>
      </c>
      <c r="J186" s="51" t="s">
        <v>342</v>
      </c>
    </row>
    <row r="187" ht="15.0" customHeight="1">
      <c r="A187" s="51">
        <v>37.0</v>
      </c>
      <c r="B187" s="51" t="s">
        <v>394</v>
      </c>
      <c r="C187" s="51" t="s">
        <v>192</v>
      </c>
      <c r="D187" s="51" t="s">
        <v>308</v>
      </c>
      <c r="E187" s="51" t="s">
        <v>347</v>
      </c>
      <c r="F187" s="51" t="s">
        <v>341</v>
      </c>
      <c r="G187" s="52">
        <v>30.0</v>
      </c>
      <c r="H187" s="52"/>
      <c r="I187" s="52">
        <v>30.0</v>
      </c>
      <c r="J187" s="51" t="s">
        <v>342</v>
      </c>
    </row>
    <row r="188" ht="15.0" customHeight="1">
      <c r="A188" s="51">
        <v>37.0</v>
      </c>
      <c r="B188" s="51" t="s">
        <v>394</v>
      </c>
      <c r="C188" s="51" t="s">
        <v>192</v>
      </c>
      <c r="D188" s="51" t="s">
        <v>308</v>
      </c>
      <c r="E188" s="51" t="s">
        <v>351</v>
      </c>
      <c r="F188" s="51" t="s">
        <v>341</v>
      </c>
      <c r="G188" s="52">
        <v>53.181386514719854</v>
      </c>
      <c r="H188" s="52"/>
      <c r="I188" s="52">
        <v>53.181386514719854</v>
      </c>
      <c r="J188" s="51" t="s">
        <v>342</v>
      </c>
    </row>
    <row r="189" ht="15.0" customHeight="1">
      <c r="A189" s="51">
        <v>37.0</v>
      </c>
      <c r="B189" s="51" t="s">
        <v>394</v>
      </c>
      <c r="C189" s="51" t="s">
        <v>192</v>
      </c>
      <c r="D189" s="51" t="s">
        <v>308</v>
      </c>
      <c r="E189" s="51" t="s">
        <v>352</v>
      </c>
      <c r="F189" s="51" t="s">
        <v>341</v>
      </c>
      <c r="G189" s="52">
        <v>0.2754036087369421</v>
      </c>
      <c r="H189" s="52"/>
      <c r="I189" s="52">
        <v>0.2754036087369421</v>
      </c>
      <c r="J189" s="51" t="s">
        <v>342</v>
      </c>
    </row>
    <row r="190" ht="15.0" customHeight="1">
      <c r="A190" s="51">
        <v>37.0</v>
      </c>
      <c r="B190" s="51" t="s">
        <v>394</v>
      </c>
      <c r="C190" s="51" t="s">
        <v>192</v>
      </c>
      <c r="D190" s="51" t="s">
        <v>308</v>
      </c>
      <c r="E190" s="51" t="s">
        <v>353</v>
      </c>
      <c r="F190" s="51" t="s">
        <v>354</v>
      </c>
      <c r="G190" s="52">
        <v>12.430645773979107</v>
      </c>
      <c r="H190" s="52">
        <v>12.450645773979106</v>
      </c>
      <c r="I190" s="52">
        <v>12.440645773979107</v>
      </c>
      <c r="J190" s="51" t="s">
        <v>342</v>
      </c>
    </row>
    <row r="191" ht="15.0" customHeight="1">
      <c r="A191" s="51">
        <v>38.0</v>
      </c>
      <c r="B191" s="51" t="s">
        <v>401</v>
      </c>
      <c r="C191" s="51" t="s">
        <v>192</v>
      </c>
      <c r="D191" s="51" t="s">
        <v>308</v>
      </c>
      <c r="E191" s="51" t="s">
        <v>340</v>
      </c>
      <c r="F191" s="51" t="s">
        <v>341</v>
      </c>
      <c r="G191" s="52">
        <v>0.389363722697056</v>
      </c>
      <c r="H191" s="52"/>
      <c r="I191" s="52">
        <v>0.389363722697056</v>
      </c>
      <c r="J191" s="51" t="s">
        <v>342</v>
      </c>
    </row>
    <row r="192" ht="15.0" customHeight="1">
      <c r="A192" s="51">
        <v>38.0</v>
      </c>
      <c r="B192" s="51" t="s">
        <v>401</v>
      </c>
      <c r="C192" s="51" t="s">
        <v>192</v>
      </c>
      <c r="D192" s="51" t="s">
        <v>308</v>
      </c>
      <c r="E192" s="51" t="s">
        <v>343</v>
      </c>
      <c r="F192" s="51" t="s">
        <v>341</v>
      </c>
      <c r="G192" s="52">
        <v>1.4137931034482756</v>
      </c>
      <c r="H192" s="52"/>
      <c r="I192" s="52">
        <v>1.4137931034482756</v>
      </c>
      <c r="J192" s="51" t="s">
        <v>342</v>
      </c>
    </row>
    <row r="193" ht="15.0" customHeight="1">
      <c r="A193" s="51">
        <v>38.0</v>
      </c>
      <c r="B193" s="51" t="s">
        <v>401</v>
      </c>
      <c r="C193" s="51" t="s">
        <v>192</v>
      </c>
      <c r="D193" s="51" t="s">
        <v>308</v>
      </c>
      <c r="E193" s="51" t="s">
        <v>344</v>
      </c>
      <c r="F193" s="51" t="s">
        <v>345</v>
      </c>
      <c r="G193" s="52"/>
      <c r="H193" s="52">
        <v>7.0</v>
      </c>
      <c r="I193" s="52">
        <v>7.0</v>
      </c>
      <c r="J193" s="51" t="s">
        <v>342</v>
      </c>
    </row>
    <row r="194" ht="15.0" customHeight="1">
      <c r="A194" s="51">
        <v>38.0</v>
      </c>
      <c r="B194" s="51" t="s">
        <v>401</v>
      </c>
      <c r="C194" s="51" t="s">
        <v>192</v>
      </c>
      <c r="D194" s="51" t="s">
        <v>308</v>
      </c>
      <c r="E194" s="51" t="s">
        <v>347</v>
      </c>
      <c r="F194" s="51" t="s">
        <v>341</v>
      </c>
      <c r="G194" s="52">
        <v>30.0</v>
      </c>
      <c r="H194" s="52"/>
      <c r="I194" s="52">
        <v>30.0</v>
      </c>
      <c r="J194" s="51" t="s">
        <v>342</v>
      </c>
    </row>
    <row r="195" ht="15.0" customHeight="1">
      <c r="A195" s="51">
        <v>38.0</v>
      </c>
      <c r="B195" s="51" t="s">
        <v>401</v>
      </c>
      <c r="C195" s="51" t="s">
        <v>192</v>
      </c>
      <c r="D195" s="51" t="s">
        <v>308</v>
      </c>
      <c r="E195" s="51" t="s">
        <v>351</v>
      </c>
      <c r="F195" s="51" t="s">
        <v>341</v>
      </c>
      <c r="G195" s="52">
        <v>53.181386514719854</v>
      </c>
      <c r="H195" s="52"/>
      <c r="I195" s="52">
        <v>53.181386514719854</v>
      </c>
      <c r="J195" s="51" t="s">
        <v>342</v>
      </c>
    </row>
    <row r="196" ht="15.0" customHeight="1">
      <c r="A196" s="51">
        <v>38.0</v>
      </c>
      <c r="B196" s="51" t="s">
        <v>401</v>
      </c>
      <c r="C196" s="51" t="s">
        <v>192</v>
      </c>
      <c r="D196" s="51" t="s">
        <v>308</v>
      </c>
      <c r="E196" s="51" t="s">
        <v>352</v>
      </c>
      <c r="F196" s="51" t="s">
        <v>341</v>
      </c>
      <c r="G196" s="52">
        <v>0.2754036087369421</v>
      </c>
      <c r="H196" s="52"/>
      <c r="I196" s="52">
        <v>0.2754036087369421</v>
      </c>
      <c r="J196" s="51" t="s">
        <v>342</v>
      </c>
    </row>
    <row r="197" ht="15.0" customHeight="1">
      <c r="A197" s="51">
        <v>38.0</v>
      </c>
      <c r="B197" s="51" t="s">
        <v>401</v>
      </c>
      <c r="C197" s="51" t="s">
        <v>192</v>
      </c>
      <c r="D197" s="51" t="s">
        <v>308</v>
      </c>
      <c r="E197" s="51" t="s">
        <v>353</v>
      </c>
      <c r="F197" s="51" t="s">
        <v>354</v>
      </c>
      <c r="G197" s="52">
        <v>12.430645773979107</v>
      </c>
      <c r="H197" s="52">
        <v>12.450645773979106</v>
      </c>
      <c r="I197" s="52">
        <v>12.440645773979107</v>
      </c>
      <c r="J197" s="51" t="s">
        <v>342</v>
      </c>
    </row>
    <row r="198" ht="15.0" customHeight="1">
      <c r="A198" s="51">
        <v>39.0</v>
      </c>
      <c r="B198" s="51" t="s">
        <v>408</v>
      </c>
      <c r="C198" s="51" t="s">
        <v>192</v>
      </c>
      <c r="D198" s="51" t="s">
        <v>308</v>
      </c>
      <c r="E198" s="51" t="s">
        <v>340</v>
      </c>
      <c r="F198" s="51" t="s">
        <v>341</v>
      </c>
      <c r="G198" s="52">
        <v>0.42</v>
      </c>
      <c r="H198" s="52"/>
      <c r="I198" s="52">
        <v>0.42</v>
      </c>
      <c r="J198" s="51" t="s">
        <v>342</v>
      </c>
    </row>
    <row r="199" ht="15.0" customHeight="1">
      <c r="A199" s="51">
        <v>39.0</v>
      </c>
      <c r="B199" s="51" t="s">
        <v>408</v>
      </c>
      <c r="C199" s="51" t="s">
        <v>192</v>
      </c>
      <c r="D199" s="51" t="s">
        <v>308</v>
      </c>
      <c r="E199" s="51" t="s">
        <v>343</v>
      </c>
      <c r="F199" s="51" t="s">
        <v>341</v>
      </c>
      <c r="G199" s="52">
        <v>1.41</v>
      </c>
      <c r="H199" s="52"/>
      <c r="I199" s="52">
        <v>1.41</v>
      </c>
      <c r="J199" s="51" t="s">
        <v>342</v>
      </c>
    </row>
    <row r="200" ht="15.0" customHeight="1">
      <c r="A200" s="51">
        <v>39.0</v>
      </c>
      <c r="B200" s="51" t="s">
        <v>408</v>
      </c>
      <c r="C200" s="51" t="s">
        <v>192</v>
      </c>
      <c r="D200" s="51" t="s">
        <v>308</v>
      </c>
      <c r="E200" s="51" t="s">
        <v>344</v>
      </c>
      <c r="F200" s="51" t="s">
        <v>345</v>
      </c>
      <c r="G200" s="52"/>
      <c r="H200" s="52">
        <v>7.0</v>
      </c>
      <c r="I200" s="52">
        <v>7.0</v>
      </c>
      <c r="J200" s="51" t="s">
        <v>342</v>
      </c>
    </row>
    <row r="201" ht="15.0" customHeight="1">
      <c r="A201" s="51">
        <v>39.0</v>
      </c>
      <c r="B201" s="51" t="s">
        <v>408</v>
      </c>
      <c r="C201" s="51" t="s">
        <v>192</v>
      </c>
      <c r="D201" s="51" t="s">
        <v>308</v>
      </c>
      <c r="E201" s="51" t="s">
        <v>347</v>
      </c>
      <c r="F201" s="51" t="s">
        <v>341</v>
      </c>
      <c r="G201" s="52">
        <v>30.0</v>
      </c>
      <c r="H201" s="52"/>
      <c r="I201" s="52">
        <v>30.0</v>
      </c>
      <c r="J201" s="51" t="s">
        <v>342</v>
      </c>
    </row>
    <row r="202" ht="15.0" customHeight="1">
      <c r="A202" s="51">
        <v>39.0</v>
      </c>
      <c r="B202" s="51" t="s">
        <v>408</v>
      </c>
      <c r="C202" s="51" t="s">
        <v>192</v>
      </c>
      <c r="D202" s="51" t="s">
        <v>308</v>
      </c>
      <c r="E202" s="51" t="s">
        <v>351</v>
      </c>
      <c r="F202" s="51" t="s">
        <v>341</v>
      </c>
      <c r="G202" s="52">
        <v>79.14</v>
      </c>
      <c r="H202" s="52"/>
      <c r="I202" s="52">
        <v>79.14</v>
      </c>
      <c r="J202" s="51" t="s">
        <v>342</v>
      </c>
    </row>
    <row r="203" ht="15.0" customHeight="1">
      <c r="A203" s="51">
        <v>39.0</v>
      </c>
      <c r="B203" s="51" t="s">
        <v>408</v>
      </c>
      <c r="C203" s="51" t="s">
        <v>192</v>
      </c>
      <c r="D203" s="51" t="s">
        <v>308</v>
      </c>
      <c r="E203" s="51" t="s">
        <v>352</v>
      </c>
      <c r="F203" s="51" t="s">
        <v>341</v>
      </c>
      <c r="G203" s="52">
        <v>0.3</v>
      </c>
      <c r="H203" s="52"/>
      <c r="I203" s="52">
        <v>0.3</v>
      </c>
      <c r="J203" s="51" t="s">
        <v>342</v>
      </c>
    </row>
    <row r="204" ht="15.0" customHeight="1">
      <c r="A204" s="51">
        <v>39.0</v>
      </c>
      <c r="B204" s="51" t="s">
        <v>408</v>
      </c>
      <c r="C204" s="51" t="s">
        <v>192</v>
      </c>
      <c r="D204" s="51" t="s">
        <v>308</v>
      </c>
      <c r="E204" s="51" t="s">
        <v>353</v>
      </c>
      <c r="F204" s="51" t="s">
        <v>354</v>
      </c>
      <c r="G204" s="52">
        <v>14.01</v>
      </c>
      <c r="H204" s="52">
        <v>14.03</v>
      </c>
      <c r="I204" s="52">
        <v>14.02</v>
      </c>
      <c r="J204" s="51" t="s">
        <v>342</v>
      </c>
    </row>
    <row r="205" ht="15.0" customHeight="1">
      <c r="A205" s="51">
        <v>43.0</v>
      </c>
      <c r="B205" s="51" t="s">
        <v>414</v>
      </c>
      <c r="C205" s="51" t="s">
        <v>192</v>
      </c>
      <c r="D205" s="51" t="s">
        <v>308</v>
      </c>
      <c r="E205" s="51" t="s">
        <v>340</v>
      </c>
      <c r="F205" s="51" t="s">
        <v>341</v>
      </c>
      <c r="G205" s="52">
        <v>0.42</v>
      </c>
      <c r="H205" s="52"/>
      <c r="I205" s="52">
        <v>0.42</v>
      </c>
      <c r="J205" s="51" t="s">
        <v>342</v>
      </c>
    </row>
    <row r="206" ht="15.0" customHeight="1">
      <c r="A206" s="51">
        <v>43.0</v>
      </c>
      <c r="B206" s="51" t="s">
        <v>414</v>
      </c>
      <c r="C206" s="51" t="s">
        <v>192</v>
      </c>
      <c r="D206" s="51" t="s">
        <v>308</v>
      </c>
      <c r="E206" s="51" t="s">
        <v>343</v>
      </c>
      <c r="F206" s="51" t="s">
        <v>341</v>
      </c>
      <c r="G206" s="52">
        <v>1.41</v>
      </c>
      <c r="H206" s="52"/>
      <c r="I206" s="52">
        <v>1.41</v>
      </c>
      <c r="J206" s="51" t="s">
        <v>342</v>
      </c>
    </row>
    <row r="207" ht="15.0" customHeight="1">
      <c r="A207" s="51">
        <v>43.0</v>
      </c>
      <c r="B207" s="51" t="s">
        <v>414</v>
      </c>
      <c r="C207" s="51" t="s">
        <v>192</v>
      </c>
      <c r="D207" s="51" t="s">
        <v>308</v>
      </c>
      <c r="E207" s="51" t="s">
        <v>344</v>
      </c>
      <c r="F207" s="51" t="s">
        <v>345</v>
      </c>
      <c r="G207" s="52"/>
      <c r="H207" s="52">
        <v>7.0</v>
      </c>
      <c r="I207" s="52">
        <v>7.0</v>
      </c>
      <c r="J207" s="51" t="s">
        <v>342</v>
      </c>
    </row>
    <row r="208" ht="15.0" customHeight="1">
      <c r="A208" s="51">
        <v>43.0</v>
      </c>
      <c r="B208" s="51" t="s">
        <v>414</v>
      </c>
      <c r="C208" s="51" t="s">
        <v>192</v>
      </c>
      <c r="D208" s="51" t="s">
        <v>308</v>
      </c>
      <c r="E208" s="51" t="s">
        <v>347</v>
      </c>
      <c r="F208" s="51" t="s">
        <v>341</v>
      </c>
      <c r="G208" s="52">
        <v>30.0</v>
      </c>
      <c r="H208" s="52"/>
      <c r="I208" s="52">
        <v>30.0</v>
      </c>
      <c r="J208" s="51" t="s">
        <v>342</v>
      </c>
    </row>
    <row r="209" ht="15.0" customHeight="1">
      <c r="A209" s="51">
        <v>43.0</v>
      </c>
      <c r="B209" s="51" t="s">
        <v>414</v>
      </c>
      <c r="C209" s="51" t="s">
        <v>192</v>
      </c>
      <c r="D209" s="51" t="s">
        <v>308</v>
      </c>
      <c r="E209" s="51" t="s">
        <v>351</v>
      </c>
      <c r="F209" s="51" t="s">
        <v>341</v>
      </c>
      <c r="G209" s="52">
        <v>79.14</v>
      </c>
      <c r="H209" s="52"/>
      <c r="I209" s="52">
        <v>79.14</v>
      </c>
      <c r="J209" s="51" t="s">
        <v>342</v>
      </c>
    </row>
    <row r="210" ht="15.0" customHeight="1">
      <c r="A210" s="51">
        <v>43.0</v>
      </c>
      <c r="B210" s="51" t="s">
        <v>414</v>
      </c>
      <c r="C210" s="51" t="s">
        <v>192</v>
      </c>
      <c r="D210" s="51" t="s">
        <v>308</v>
      </c>
      <c r="E210" s="51" t="s">
        <v>352</v>
      </c>
      <c r="F210" s="51" t="s">
        <v>341</v>
      </c>
      <c r="G210" s="52">
        <v>0.3</v>
      </c>
      <c r="H210" s="52"/>
      <c r="I210" s="52">
        <v>0.3</v>
      </c>
      <c r="J210" s="51" t="s">
        <v>342</v>
      </c>
    </row>
    <row r="211" ht="15.0" customHeight="1">
      <c r="A211" s="51">
        <v>43.0</v>
      </c>
      <c r="B211" s="51" t="s">
        <v>414</v>
      </c>
      <c r="C211" s="51" t="s">
        <v>192</v>
      </c>
      <c r="D211" s="51" t="s">
        <v>308</v>
      </c>
      <c r="E211" s="51" t="s">
        <v>353</v>
      </c>
      <c r="F211" s="51" t="s">
        <v>354</v>
      </c>
      <c r="G211" s="52">
        <v>14.01</v>
      </c>
      <c r="H211" s="52">
        <v>14.03</v>
      </c>
      <c r="I211" s="52">
        <v>14.02</v>
      </c>
      <c r="J211" s="51" t="s">
        <v>342</v>
      </c>
    </row>
    <row r="212" ht="15.0" customHeight="1">
      <c r="A212" s="51">
        <v>44.0</v>
      </c>
      <c r="B212" s="51" t="s">
        <v>418</v>
      </c>
      <c r="C212" s="51" t="s">
        <v>192</v>
      </c>
      <c r="D212" s="51" t="s">
        <v>308</v>
      </c>
      <c r="E212" s="51" t="s">
        <v>340</v>
      </c>
      <c r="F212" s="51" t="s">
        <v>341</v>
      </c>
      <c r="G212" s="52">
        <v>0.6228956228956228</v>
      </c>
      <c r="H212" s="52"/>
      <c r="I212" s="52">
        <v>0.6228956228956228</v>
      </c>
      <c r="J212" s="51" t="s">
        <v>342</v>
      </c>
    </row>
    <row r="213" ht="15.0" customHeight="1">
      <c r="A213" s="51">
        <v>44.0</v>
      </c>
      <c r="B213" s="51" t="s">
        <v>418</v>
      </c>
      <c r="C213" s="51" t="s">
        <v>192</v>
      </c>
      <c r="D213" s="51" t="s">
        <v>308</v>
      </c>
      <c r="E213" s="51" t="s">
        <v>343</v>
      </c>
      <c r="F213" s="51" t="s">
        <v>341</v>
      </c>
      <c r="G213" s="52">
        <v>1.48</v>
      </c>
      <c r="H213" s="52"/>
      <c r="I213" s="52">
        <v>1.48</v>
      </c>
      <c r="J213" s="51" t="s">
        <v>342</v>
      </c>
    </row>
    <row r="214" ht="15.0" customHeight="1">
      <c r="A214" s="51">
        <v>44.0</v>
      </c>
      <c r="B214" s="51" t="s">
        <v>418</v>
      </c>
      <c r="C214" s="51" t="s">
        <v>192</v>
      </c>
      <c r="D214" s="51" t="s">
        <v>308</v>
      </c>
      <c r="E214" s="51" t="s">
        <v>344</v>
      </c>
      <c r="F214" s="51" t="s">
        <v>345</v>
      </c>
      <c r="G214" s="52"/>
      <c r="H214" s="52">
        <v>7.0</v>
      </c>
      <c r="I214" s="52">
        <v>7.0</v>
      </c>
      <c r="J214" s="51" t="s">
        <v>342</v>
      </c>
    </row>
    <row r="215" ht="15.0" customHeight="1">
      <c r="A215" s="51">
        <v>44.0</v>
      </c>
      <c r="B215" s="51" t="s">
        <v>418</v>
      </c>
      <c r="C215" s="51" t="s">
        <v>192</v>
      </c>
      <c r="D215" s="51" t="s">
        <v>308</v>
      </c>
      <c r="E215" s="51" t="s">
        <v>347</v>
      </c>
      <c r="F215" s="51" t="s">
        <v>341</v>
      </c>
      <c r="G215" s="52">
        <v>30.0</v>
      </c>
      <c r="H215" s="52"/>
      <c r="I215" s="52">
        <v>30.0</v>
      </c>
      <c r="J215" s="51" t="s">
        <v>342</v>
      </c>
    </row>
    <row r="216" ht="15.0" customHeight="1">
      <c r="A216" s="51">
        <v>44.0</v>
      </c>
      <c r="B216" s="51" t="s">
        <v>418</v>
      </c>
      <c r="C216" s="51" t="s">
        <v>192</v>
      </c>
      <c r="D216" s="51" t="s">
        <v>308</v>
      </c>
      <c r="E216" s="51" t="s">
        <v>351</v>
      </c>
      <c r="F216" s="51" t="s">
        <v>341</v>
      </c>
      <c r="G216" s="52">
        <v>65.65656565656566</v>
      </c>
      <c r="H216" s="52"/>
      <c r="I216" s="52">
        <v>65.65656565656566</v>
      </c>
      <c r="J216" s="51" t="s">
        <v>342</v>
      </c>
    </row>
    <row r="217" ht="15.0" customHeight="1">
      <c r="A217" s="51">
        <v>44.0</v>
      </c>
      <c r="B217" s="51" t="s">
        <v>418</v>
      </c>
      <c r="C217" s="51" t="s">
        <v>192</v>
      </c>
      <c r="D217" s="51" t="s">
        <v>308</v>
      </c>
      <c r="E217" s="51" t="s">
        <v>352</v>
      </c>
      <c r="F217" s="51" t="s">
        <v>341</v>
      </c>
      <c r="G217" s="52">
        <v>0.42087542087542085</v>
      </c>
      <c r="H217" s="52"/>
      <c r="I217" s="52">
        <v>0.42087542087542085</v>
      </c>
      <c r="J217" s="51" t="s">
        <v>342</v>
      </c>
    </row>
    <row r="218" ht="15.0" customHeight="1">
      <c r="A218" s="51">
        <v>44.0</v>
      </c>
      <c r="B218" s="51" t="s">
        <v>418</v>
      </c>
      <c r="C218" s="51" t="s">
        <v>192</v>
      </c>
      <c r="D218" s="51" t="s">
        <v>308</v>
      </c>
      <c r="E218" s="51" t="s">
        <v>353</v>
      </c>
      <c r="F218" s="51" t="s">
        <v>354</v>
      </c>
      <c r="G218" s="52">
        <v>18.676868686868687</v>
      </c>
      <c r="H218" s="52">
        <v>18.69686868686869</v>
      </c>
      <c r="I218" s="52">
        <v>18.68686868686869</v>
      </c>
      <c r="J218" s="51" t="s">
        <v>342</v>
      </c>
    </row>
    <row r="219" ht="15.0" customHeight="1">
      <c r="A219" s="51">
        <v>45.0</v>
      </c>
      <c r="B219" s="51" t="s">
        <v>420</v>
      </c>
      <c r="C219" s="51" t="s">
        <v>192</v>
      </c>
      <c r="D219" s="51" t="s">
        <v>308</v>
      </c>
      <c r="E219" s="51" t="s">
        <v>340</v>
      </c>
      <c r="F219" s="51" t="s">
        <v>341</v>
      </c>
      <c r="G219" s="52">
        <v>0.6228956228956228</v>
      </c>
      <c r="H219" s="52"/>
      <c r="I219" s="52">
        <v>0.6228956228956228</v>
      </c>
      <c r="J219" s="51" t="s">
        <v>342</v>
      </c>
    </row>
    <row r="220" ht="15.0" customHeight="1">
      <c r="A220" s="51">
        <v>45.0</v>
      </c>
      <c r="B220" s="51" t="s">
        <v>420</v>
      </c>
      <c r="C220" s="51" t="s">
        <v>192</v>
      </c>
      <c r="D220" s="51" t="s">
        <v>308</v>
      </c>
      <c r="E220" s="51" t="s">
        <v>343</v>
      </c>
      <c r="F220" s="51" t="s">
        <v>341</v>
      </c>
      <c r="G220" s="52">
        <v>1.48</v>
      </c>
      <c r="H220" s="52"/>
      <c r="I220" s="52">
        <v>1.48</v>
      </c>
      <c r="J220" s="51" t="s">
        <v>342</v>
      </c>
    </row>
    <row r="221" ht="15.0" customHeight="1">
      <c r="A221" s="51">
        <v>45.0</v>
      </c>
      <c r="B221" s="51" t="s">
        <v>420</v>
      </c>
      <c r="C221" s="51" t="s">
        <v>192</v>
      </c>
      <c r="D221" s="51" t="s">
        <v>308</v>
      </c>
      <c r="E221" s="51" t="s">
        <v>344</v>
      </c>
      <c r="F221" s="51" t="s">
        <v>345</v>
      </c>
      <c r="G221" s="52"/>
      <c r="H221" s="52">
        <v>7.0</v>
      </c>
      <c r="I221" s="52">
        <v>7.0</v>
      </c>
      <c r="J221" s="51" t="s">
        <v>342</v>
      </c>
    </row>
    <row r="222" ht="15.0" customHeight="1">
      <c r="A222" s="51">
        <v>45.0</v>
      </c>
      <c r="B222" s="51" t="s">
        <v>420</v>
      </c>
      <c r="C222" s="51" t="s">
        <v>192</v>
      </c>
      <c r="D222" s="51" t="s">
        <v>308</v>
      </c>
      <c r="E222" s="51" t="s">
        <v>347</v>
      </c>
      <c r="F222" s="51" t="s">
        <v>341</v>
      </c>
      <c r="G222" s="52">
        <v>30.0</v>
      </c>
      <c r="H222" s="52"/>
      <c r="I222" s="52">
        <v>30.0</v>
      </c>
      <c r="J222" s="51" t="s">
        <v>342</v>
      </c>
    </row>
    <row r="223" ht="15.0" customHeight="1">
      <c r="A223" s="51">
        <v>45.0</v>
      </c>
      <c r="B223" s="51" t="s">
        <v>420</v>
      </c>
      <c r="C223" s="51" t="s">
        <v>192</v>
      </c>
      <c r="D223" s="51" t="s">
        <v>308</v>
      </c>
      <c r="E223" s="51" t="s">
        <v>351</v>
      </c>
      <c r="F223" s="51" t="s">
        <v>341</v>
      </c>
      <c r="G223" s="52">
        <v>65.65656565656566</v>
      </c>
      <c r="H223" s="52"/>
      <c r="I223" s="52">
        <v>65.65656565656566</v>
      </c>
      <c r="J223" s="51" t="s">
        <v>342</v>
      </c>
    </row>
    <row r="224" ht="15.0" customHeight="1">
      <c r="A224" s="51">
        <v>45.0</v>
      </c>
      <c r="B224" s="51" t="s">
        <v>420</v>
      </c>
      <c r="C224" s="51" t="s">
        <v>192</v>
      </c>
      <c r="D224" s="51" t="s">
        <v>308</v>
      </c>
      <c r="E224" s="51" t="s">
        <v>352</v>
      </c>
      <c r="F224" s="51" t="s">
        <v>341</v>
      </c>
      <c r="G224" s="52">
        <v>0.42087542087542085</v>
      </c>
      <c r="H224" s="52"/>
      <c r="I224" s="52">
        <v>0.42087542087542085</v>
      </c>
      <c r="J224" s="51" t="s">
        <v>342</v>
      </c>
    </row>
    <row r="225" ht="15.0" customHeight="1">
      <c r="A225" s="51">
        <v>45.0</v>
      </c>
      <c r="B225" s="51" t="s">
        <v>420</v>
      </c>
      <c r="C225" s="51" t="s">
        <v>192</v>
      </c>
      <c r="D225" s="51" t="s">
        <v>308</v>
      </c>
      <c r="E225" s="51" t="s">
        <v>353</v>
      </c>
      <c r="F225" s="51" t="s">
        <v>354</v>
      </c>
      <c r="G225" s="52">
        <v>18.676868686868687</v>
      </c>
      <c r="H225" s="52">
        <v>18.69686868686869</v>
      </c>
      <c r="I225" s="52">
        <v>18.68686868686869</v>
      </c>
      <c r="J225" s="51" t="s">
        <v>342</v>
      </c>
    </row>
    <row r="226" ht="15.0" customHeight="1">
      <c r="A226" s="51">
        <v>46.0</v>
      </c>
      <c r="B226" s="51" t="s">
        <v>423</v>
      </c>
      <c r="C226" s="51" t="s">
        <v>192</v>
      </c>
      <c r="D226" s="51" t="s">
        <v>308</v>
      </c>
      <c r="E226" s="51" t="s">
        <v>340</v>
      </c>
      <c r="F226" s="51" t="s">
        <v>341</v>
      </c>
      <c r="G226" s="52">
        <v>0.8388157894736842</v>
      </c>
      <c r="H226" s="52"/>
      <c r="I226" s="52">
        <v>0.8388157894736842</v>
      </c>
      <c r="J226" s="51" t="s">
        <v>342</v>
      </c>
    </row>
    <row r="227" ht="15.0" customHeight="1">
      <c r="A227" s="51">
        <v>46.0</v>
      </c>
      <c r="B227" s="51" t="s">
        <v>423</v>
      </c>
      <c r="C227" s="51" t="s">
        <v>192</v>
      </c>
      <c r="D227" s="51" t="s">
        <v>308</v>
      </c>
      <c r="E227" s="51" t="s">
        <v>343</v>
      </c>
      <c r="F227" s="51" t="s">
        <v>341</v>
      </c>
      <c r="G227" s="52">
        <v>1.4571428571428573</v>
      </c>
      <c r="H227" s="52"/>
      <c r="I227" s="52">
        <v>1.4571428571428573</v>
      </c>
      <c r="J227" s="51" t="s">
        <v>342</v>
      </c>
    </row>
    <row r="228" ht="15.0" customHeight="1">
      <c r="A228" s="51">
        <v>46.0</v>
      </c>
      <c r="B228" s="51" t="s">
        <v>423</v>
      </c>
      <c r="C228" s="51" t="s">
        <v>192</v>
      </c>
      <c r="D228" s="51" t="s">
        <v>308</v>
      </c>
      <c r="E228" s="51" t="s">
        <v>344</v>
      </c>
      <c r="F228" s="51" t="s">
        <v>345</v>
      </c>
      <c r="G228" s="52"/>
      <c r="H228" s="52">
        <v>7.0</v>
      </c>
      <c r="I228" s="52">
        <v>7.0</v>
      </c>
      <c r="J228" s="51" t="s">
        <v>342</v>
      </c>
    </row>
    <row r="229" ht="15.0" customHeight="1">
      <c r="A229" s="51">
        <v>46.0</v>
      </c>
      <c r="B229" s="51" t="s">
        <v>423</v>
      </c>
      <c r="C229" s="51" t="s">
        <v>192</v>
      </c>
      <c r="D229" s="51" t="s">
        <v>308</v>
      </c>
      <c r="E229" s="51" t="s">
        <v>347</v>
      </c>
      <c r="F229" s="51" t="s">
        <v>341</v>
      </c>
      <c r="G229" s="52">
        <v>30.0</v>
      </c>
      <c r="H229" s="52"/>
      <c r="I229" s="52">
        <v>30.0</v>
      </c>
      <c r="J229" s="51" t="s">
        <v>342</v>
      </c>
    </row>
    <row r="230" ht="15.0" customHeight="1">
      <c r="A230" s="51">
        <v>46.0</v>
      </c>
      <c r="B230" s="51" t="s">
        <v>423</v>
      </c>
      <c r="C230" s="51" t="s">
        <v>192</v>
      </c>
      <c r="D230" s="51" t="s">
        <v>308</v>
      </c>
      <c r="E230" s="51" t="s">
        <v>351</v>
      </c>
      <c r="F230" s="51" t="s">
        <v>341</v>
      </c>
      <c r="G230" s="52">
        <v>78.94736842105263</v>
      </c>
      <c r="H230" s="52"/>
      <c r="I230" s="52">
        <v>78.94736842105263</v>
      </c>
      <c r="J230" s="51" t="s">
        <v>342</v>
      </c>
    </row>
    <row r="231" ht="15.0" customHeight="1">
      <c r="A231" s="51">
        <v>46.0</v>
      </c>
      <c r="B231" s="51" t="s">
        <v>423</v>
      </c>
      <c r="C231" s="51" t="s">
        <v>192</v>
      </c>
      <c r="D231" s="51" t="s">
        <v>308</v>
      </c>
      <c r="E231" s="51" t="s">
        <v>352</v>
      </c>
      <c r="F231" s="51" t="s">
        <v>341</v>
      </c>
      <c r="G231" s="52">
        <v>0.575657894736842</v>
      </c>
      <c r="H231" s="52"/>
      <c r="I231" s="52">
        <v>0.575657894736842</v>
      </c>
      <c r="J231" s="51" t="s">
        <v>342</v>
      </c>
    </row>
    <row r="232" ht="15.0" customHeight="1">
      <c r="A232" s="51">
        <v>46.0</v>
      </c>
      <c r="B232" s="51" t="s">
        <v>423</v>
      </c>
      <c r="C232" s="51" t="s">
        <v>192</v>
      </c>
      <c r="D232" s="51" t="s">
        <v>308</v>
      </c>
      <c r="E232" s="51" t="s">
        <v>353</v>
      </c>
      <c r="F232" s="51" t="s">
        <v>354</v>
      </c>
      <c r="G232" s="52">
        <v>24.332105263157892</v>
      </c>
      <c r="H232" s="52">
        <v>24.352105263157895</v>
      </c>
      <c r="I232" s="52">
        <v>24.342105263157894</v>
      </c>
      <c r="J232" s="51" t="s">
        <v>342</v>
      </c>
    </row>
    <row r="233" ht="15.0" customHeight="1">
      <c r="A233" s="51">
        <v>47.0</v>
      </c>
      <c r="B233" s="51" t="s">
        <v>429</v>
      </c>
      <c r="C233" s="51" t="s">
        <v>192</v>
      </c>
      <c r="D233" s="51" t="s">
        <v>308</v>
      </c>
      <c r="E233" s="51" t="s">
        <v>340</v>
      </c>
      <c r="F233" s="51" t="s">
        <v>341</v>
      </c>
      <c r="G233" s="52">
        <v>0.8146964856230031</v>
      </c>
      <c r="H233" s="52"/>
      <c r="I233" s="52">
        <v>0.8146964856230031</v>
      </c>
      <c r="J233" s="51" t="s">
        <v>342</v>
      </c>
    </row>
    <row r="234" ht="15.0" customHeight="1">
      <c r="A234" s="51">
        <v>47.0</v>
      </c>
      <c r="B234" s="51" t="s">
        <v>429</v>
      </c>
      <c r="C234" s="51" t="s">
        <v>192</v>
      </c>
      <c r="D234" s="51" t="s">
        <v>308</v>
      </c>
      <c r="E234" s="51" t="s">
        <v>343</v>
      </c>
      <c r="F234" s="51" t="s">
        <v>341</v>
      </c>
      <c r="G234" s="52">
        <v>1.457142857142857</v>
      </c>
      <c r="H234" s="52"/>
      <c r="I234" s="52">
        <v>1.457142857142857</v>
      </c>
      <c r="J234" s="51" t="s">
        <v>342</v>
      </c>
    </row>
    <row r="235" ht="15.0" customHeight="1">
      <c r="A235" s="51">
        <v>47.0</v>
      </c>
      <c r="B235" s="51" t="s">
        <v>429</v>
      </c>
      <c r="C235" s="51" t="s">
        <v>192</v>
      </c>
      <c r="D235" s="51" t="s">
        <v>308</v>
      </c>
      <c r="E235" s="51" t="s">
        <v>344</v>
      </c>
      <c r="F235" s="51" t="s">
        <v>345</v>
      </c>
      <c r="G235" s="52"/>
      <c r="H235" s="52">
        <v>7.0</v>
      </c>
      <c r="I235" s="52">
        <v>7.0</v>
      </c>
      <c r="J235" s="51" t="s">
        <v>342</v>
      </c>
    </row>
    <row r="236" ht="15.0" customHeight="1">
      <c r="A236" s="51">
        <v>47.0</v>
      </c>
      <c r="B236" s="51" t="s">
        <v>429</v>
      </c>
      <c r="C236" s="51" t="s">
        <v>192</v>
      </c>
      <c r="D236" s="51" t="s">
        <v>308</v>
      </c>
      <c r="E236" s="51" t="s">
        <v>347</v>
      </c>
      <c r="F236" s="51" t="s">
        <v>341</v>
      </c>
      <c r="G236" s="52">
        <v>30.0</v>
      </c>
      <c r="H236" s="52"/>
      <c r="I236" s="52">
        <v>30.0</v>
      </c>
      <c r="J236" s="51" t="s">
        <v>342</v>
      </c>
    </row>
    <row r="237" ht="15.0" customHeight="1">
      <c r="A237" s="51">
        <v>47.0</v>
      </c>
      <c r="B237" s="51" t="s">
        <v>429</v>
      </c>
      <c r="C237" s="51" t="s">
        <v>192</v>
      </c>
      <c r="D237" s="51" t="s">
        <v>308</v>
      </c>
      <c r="E237" s="51" t="s">
        <v>351</v>
      </c>
      <c r="F237" s="51" t="s">
        <v>341</v>
      </c>
      <c r="G237" s="52">
        <v>79.87220447284345</v>
      </c>
      <c r="H237" s="52"/>
      <c r="I237" s="52">
        <v>79.87220447284345</v>
      </c>
      <c r="J237" s="51" t="s">
        <v>342</v>
      </c>
    </row>
    <row r="238" ht="15.0" customHeight="1">
      <c r="A238" s="51">
        <v>47.0</v>
      </c>
      <c r="B238" s="51" t="s">
        <v>429</v>
      </c>
      <c r="C238" s="51" t="s">
        <v>192</v>
      </c>
      <c r="D238" s="51" t="s">
        <v>308</v>
      </c>
      <c r="E238" s="51" t="s">
        <v>352</v>
      </c>
      <c r="F238" s="51" t="s">
        <v>341</v>
      </c>
      <c r="G238" s="52">
        <v>0.5591054313099041</v>
      </c>
      <c r="H238" s="52"/>
      <c r="I238" s="52">
        <v>0.5591054313099041</v>
      </c>
      <c r="J238" s="51" t="s">
        <v>342</v>
      </c>
    </row>
    <row r="239" ht="15.0" customHeight="1">
      <c r="A239" s="51">
        <v>47.0</v>
      </c>
      <c r="B239" s="51" t="s">
        <v>429</v>
      </c>
      <c r="C239" s="51" t="s">
        <v>192</v>
      </c>
      <c r="D239" s="51" t="s">
        <v>308</v>
      </c>
      <c r="E239" s="51" t="s">
        <v>353</v>
      </c>
      <c r="F239" s="51" t="s">
        <v>354</v>
      </c>
      <c r="G239" s="52">
        <v>23.79191693290735</v>
      </c>
      <c r="H239" s="52">
        <v>23.81191693290735</v>
      </c>
      <c r="I239" s="52">
        <v>23.80191693290735</v>
      </c>
      <c r="J239" s="51" t="s">
        <v>342</v>
      </c>
    </row>
    <row r="240" ht="15.0" customHeight="1">
      <c r="A240" s="51">
        <v>48.0</v>
      </c>
      <c r="B240" s="51" t="s">
        <v>434</v>
      </c>
      <c r="C240" s="51" t="s">
        <v>192</v>
      </c>
      <c r="D240" s="51" t="s">
        <v>308</v>
      </c>
      <c r="E240" s="51" t="s">
        <v>340</v>
      </c>
      <c r="F240" s="51" t="s">
        <v>341</v>
      </c>
      <c r="G240" s="52">
        <v>0.37649219467401285</v>
      </c>
      <c r="H240" s="52"/>
      <c r="I240" s="52">
        <v>0.37649219467401285</v>
      </c>
      <c r="J240" s="51" t="s">
        <v>342</v>
      </c>
    </row>
    <row r="241" ht="15.0" customHeight="1">
      <c r="A241" s="51">
        <v>48.0</v>
      </c>
      <c r="B241" s="51" t="s">
        <v>434</v>
      </c>
      <c r="C241" s="51" t="s">
        <v>192</v>
      </c>
      <c r="D241" s="51" t="s">
        <v>308</v>
      </c>
      <c r="E241" s="51" t="s">
        <v>343</v>
      </c>
      <c r="F241" s="51" t="s">
        <v>341</v>
      </c>
      <c r="G241" s="52">
        <v>1.3666666666666667</v>
      </c>
      <c r="H241" s="52"/>
      <c r="I241" s="52">
        <v>1.3666666666666667</v>
      </c>
      <c r="J241" s="51" t="s">
        <v>342</v>
      </c>
    </row>
    <row r="242" ht="15.0" customHeight="1">
      <c r="A242" s="51">
        <v>48.0</v>
      </c>
      <c r="B242" s="51" t="s">
        <v>434</v>
      </c>
      <c r="C242" s="51" t="s">
        <v>192</v>
      </c>
      <c r="D242" s="51" t="s">
        <v>308</v>
      </c>
      <c r="E242" s="51" t="s">
        <v>344</v>
      </c>
      <c r="F242" s="51" t="s">
        <v>345</v>
      </c>
      <c r="G242" s="52"/>
      <c r="H242" s="52">
        <v>7.0</v>
      </c>
      <c r="I242" s="52">
        <v>7.0</v>
      </c>
      <c r="J242" s="51" t="s">
        <v>342</v>
      </c>
    </row>
    <row r="243" ht="15.0" customHeight="1">
      <c r="A243" s="51">
        <v>48.0</v>
      </c>
      <c r="B243" s="51" t="s">
        <v>434</v>
      </c>
      <c r="C243" s="51" t="s">
        <v>192</v>
      </c>
      <c r="D243" s="51" t="s">
        <v>308</v>
      </c>
      <c r="E243" s="51" t="s">
        <v>347</v>
      </c>
      <c r="F243" s="51" t="s">
        <v>341</v>
      </c>
      <c r="G243" s="52">
        <v>30.0</v>
      </c>
      <c r="H243" s="52"/>
      <c r="I243" s="52">
        <v>30.0</v>
      </c>
      <c r="J243" s="51" t="s">
        <v>342</v>
      </c>
    </row>
    <row r="244" ht="15.0" customHeight="1">
      <c r="A244" s="51">
        <v>48.0</v>
      </c>
      <c r="B244" s="51" t="s">
        <v>434</v>
      </c>
      <c r="C244" s="51" t="s">
        <v>192</v>
      </c>
      <c r="D244" s="51" t="s">
        <v>308</v>
      </c>
      <c r="E244" s="51" t="s">
        <v>351</v>
      </c>
      <c r="F244" s="51" t="s">
        <v>341</v>
      </c>
      <c r="G244" s="52">
        <v>53.25987144168962</v>
      </c>
      <c r="H244" s="52"/>
      <c r="I244" s="52">
        <v>53.25987144168962</v>
      </c>
      <c r="J244" s="51" t="s">
        <v>342</v>
      </c>
    </row>
    <row r="245" ht="15.0" customHeight="1">
      <c r="A245" s="51">
        <v>48.0</v>
      </c>
      <c r="B245" s="51" t="s">
        <v>434</v>
      </c>
      <c r="C245" s="51" t="s">
        <v>192</v>
      </c>
      <c r="D245" s="51" t="s">
        <v>308</v>
      </c>
      <c r="E245" s="51" t="s">
        <v>352</v>
      </c>
      <c r="F245" s="51" t="s">
        <v>341</v>
      </c>
      <c r="G245" s="52">
        <v>0.27548209366391185</v>
      </c>
      <c r="H245" s="52"/>
      <c r="I245" s="52">
        <v>0.27548209366391185</v>
      </c>
      <c r="J245" s="51" t="s">
        <v>342</v>
      </c>
    </row>
    <row r="246" ht="15.0" customHeight="1">
      <c r="A246" s="51">
        <v>48.0</v>
      </c>
      <c r="B246" s="51" t="s">
        <v>434</v>
      </c>
      <c r="C246" s="51" t="s">
        <v>192</v>
      </c>
      <c r="D246" s="51" t="s">
        <v>308</v>
      </c>
      <c r="E246" s="51" t="s">
        <v>353</v>
      </c>
      <c r="F246" s="51" t="s">
        <v>354</v>
      </c>
      <c r="G246" s="52">
        <v>12.203039485766759</v>
      </c>
      <c r="H246" s="52">
        <v>12.223039485766758</v>
      </c>
      <c r="I246" s="52">
        <v>12.213039485766759</v>
      </c>
      <c r="J246" s="51" t="s">
        <v>342</v>
      </c>
    </row>
    <row r="247" ht="15.0" customHeight="1">
      <c r="A247" s="51">
        <v>49.0</v>
      </c>
      <c r="B247" s="51" t="s">
        <v>436</v>
      </c>
      <c r="C247" s="51" t="s">
        <v>192</v>
      </c>
      <c r="D247" s="51" t="s">
        <v>308</v>
      </c>
      <c r="E247" s="51" t="s">
        <v>340</v>
      </c>
      <c r="F247" s="51" t="s">
        <v>341</v>
      </c>
      <c r="G247" s="52">
        <v>0.389363722697056</v>
      </c>
      <c r="H247" s="52"/>
      <c r="I247" s="52">
        <v>0.389363722697056</v>
      </c>
      <c r="J247" s="51" t="s">
        <v>342</v>
      </c>
    </row>
    <row r="248" ht="15.0" customHeight="1">
      <c r="A248" s="51">
        <v>49.0</v>
      </c>
      <c r="B248" s="51" t="s">
        <v>436</v>
      </c>
      <c r="C248" s="51" t="s">
        <v>192</v>
      </c>
      <c r="D248" s="51" t="s">
        <v>308</v>
      </c>
      <c r="E248" s="51" t="s">
        <v>343</v>
      </c>
      <c r="F248" s="51" t="s">
        <v>341</v>
      </c>
      <c r="G248" s="52">
        <v>1.4137931034482756</v>
      </c>
      <c r="H248" s="52"/>
      <c r="I248" s="52">
        <v>1.4137931034482756</v>
      </c>
      <c r="J248" s="51" t="s">
        <v>342</v>
      </c>
    </row>
    <row r="249" ht="15.0" customHeight="1">
      <c r="A249" s="51">
        <v>49.0</v>
      </c>
      <c r="B249" s="51" t="s">
        <v>436</v>
      </c>
      <c r="C249" s="51" t="s">
        <v>192</v>
      </c>
      <c r="D249" s="51" t="s">
        <v>308</v>
      </c>
      <c r="E249" s="51" t="s">
        <v>344</v>
      </c>
      <c r="F249" s="51" t="s">
        <v>345</v>
      </c>
      <c r="G249" s="52"/>
      <c r="H249" s="52">
        <v>7.0</v>
      </c>
      <c r="I249" s="52">
        <v>7.0</v>
      </c>
      <c r="J249" s="51" t="s">
        <v>342</v>
      </c>
    </row>
    <row r="250" ht="15.0" customHeight="1">
      <c r="A250" s="51">
        <v>49.0</v>
      </c>
      <c r="B250" s="51" t="s">
        <v>436</v>
      </c>
      <c r="C250" s="51" t="s">
        <v>192</v>
      </c>
      <c r="D250" s="51" t="s">
        <v>308</v>
      </c>
      <c r="E250" s="51" t="s">
        <v>347</v>
      </c>
      <c r="F250" s="51" t="s">
        <v>341</v>
      </c>
      <c r="G250" s="52">
        <v>30.0</v>
      </c>
      <c r="H250" s="52"/>
      <c r="I250" s="52">
        <v>30.0</v>
      </c>
      <c r="J250" s="51" t="s">
        <v>342</v>
      </c>
    </row>
    <row r="251" ht="15.0" customHeight="1">
      <c r="A251" s="51">
        <v>49.0</v>
      </c>
      <c r="B251" s="51" t="s">
        <v>436</v>
      </c>
      <c r="C251" s="51" t="s">
        <v>192</v>
      </c>
      <c r="D251" s="51" t="s">
        <v>308</v>
      </c>
      <c r="E251" s="51" t="s">
        <v>351</v>
      </c>
      <c r="F251" s="51" t="s">
        <v>341</v>
      </c>
      <c r="G251" s="52">
        <v>53.181386514719854</v>
      </c>
      <c r="H251" s="52"/>
      <c r="I251" s="52">
        <v>53.181386514719854</v>
      </c>
      <c r="J251" s="51" t="s">
        <v>342</v>
      </c>
    </row>
    <row r="252" ht="15.0" customHeight="1">
      <c r="A252" s="51">
        <v>49.0</v>
      </c>
      <c r="B252" s="51" t="s">
        <v>436</v>
      </c>
      <c r="C252" s="51" t="s">
        <v>192</v>
      </c>
      <c r="D252" s="51" t="s">
        <v>308</v>
      </c>
      <c r="E252" s="51" t="s">
        <v>352</v>
      </c>
      <c r="F252" s="51" t="s">
        <v>341</v>
      </c>
      <c r="G252" s="52">
        <v>0.2754036087369421</v>
      </c>
      <c r="H252" s="52"/>
      <c r="I252" s="52">
        <v>0.2754036087369421</v>
      </c>
      <c r="J252" s="51" t="s">
        <v>342</v>
      </c>
    </row>
    <row r="253" ht="15.0" customHeight="1">
      <c r="A253" s="51">
        <v>49.0</v>
      </c>
      <c r="B253" s="51" t="s">
        <v>436</v>
      </c>
      <c r="C253" s="51" t="s">
        <v>192</v>
      </c>
      <c r="D253" s="51" t="s">
        <v>308</v>
      </c>
      <c r="E253" s="51" t="s">
        <v>353</v>
      </c>
      <c r="F253" s="51" t="s">
        <v>354</v>
      </c>
      <c r="G253" s="52">
        <v>12.430645773979107</v>
      </c>
      <c r="H253" s="52">
        <v>12.450645773979106</v>
      </c>
      <c r="I253" s="52">
        <v>12.440645773979107</v>
      </c>
      <c r="J253" s="51" t="s">
        <v>342</v>
      </c>
    </row>
    <row r="254" ht="15.0" customHeight="1">
      <c r="A254" s="51">
        <v>50.0</v>
      </c>
      <c r="B254" s="51" t="s">
        <v>439</v>
      </c>
      <c r="C254" s="51" t="s">
        <v>192</v>
      </c>
      <c r="D254" s="51" t="s">
        <v>308</v>
      </c>
      <c r="E254" s="51" t="s">
        <v>340</v>
      </c>
      <c r="F254" s="51" t="s">
        <v>341</v>
      </c>
      <c r="G254" s="52">
        <v>0.42</v>
      </c>
      <c r="H254" s="52"/>
      <c r="I254" s="52">
        <v>0.42</v>
      </c>
      <c r="J254" s="51" t="s">
        <v>342</v>
      </c>
    </row>
    <row r="255" ht="15.0" customHeight="1">
      <c r="A255" s="51">
        <v>50.0</v>
      </c>
      <c r="B255" s="51" t="s">
        <v>439</v>
      </c>
      <c r="C255" s="51" t="s">
        <v>192</v>
      </c>
      <c r="D255" s="51" t="s">
        <v>308</v>
      </c>
      <c r="E255" s="51" t="s">
        <v>343</v>
      </c>
      <c r="F255" s="51" t="s">
        <v>341</v>
      </c>
      <c r="G255" s="52">
        <v>1.41</v>
      </c>
      <c r="H255" s="52"/>
      <c r="I255" s="52">
        <v>1.41</v>
      </c>
      <c r="J255" s="51" t="s">
        <v>342</v>
      </c>
    </row>
    <row r="256" ht="15.0" customHeight="1">
      <c r="A256" s="51">
        <v>50.0</v>
      </c>
      <c r="B256" s="51" t="s">
        <v>439</v>
      </c>
      <c r="C256" s="51" t="s">
        <v>192</v>
      </c>
      <c r="D256" s="51" t="s">
        <v>308</v>
      </c>
      <c r="E256" s="51" t="s">
        <v>344</v>
      </c>
      <c r="F256" s="51" t="s">
        <v>345</v>
      </c>
      <c r="G256" s="52"/>
      <c r="H256" s="52">
        <v>7.0</v>
      </c>
      <c r="I256" s="52">
        <v>7.0</v>
      </c>
      <c r="J256" s="51" t="s">
        <v>342</v>
      </c>
    </row>
    <row r="257" ht="15.0" customHeight="1">
      <c r="A257" s="51">
        <v>50.0</v>
      </c>
      <c r="B257" s="51" t="s">
        <v>439</v>
      </c>
      <c r="C257" s="51" t="s">
        <v>192</v>
      </c>
      <c r="D257" s="51" t="s">
        <v>308</v>
      </c>
      <c r="E257" s="51" t="s">
        <v>347</v>
      </c>
      <c r="F257" s="51" t="s">
        <v>341</v>
      </c>
      <c r="G257" s="52">
        <v>30.0</v>
      </c>
      <c r="H257" s="52"/>
      <c r="I257" s="52">
        <v>30.0</v>
      </c>
      <c r="J257" s="51" t="s">
        <v>342</v>
      </c>
    </row>
    <row r="258" ht="15.0" customHeight="1">
      <c r="A258" s="51">
        <v>50.0</v>
      </c>
      <c r="B258" s="51" t="s">
        <v>439</v>
      </c>
      <c r="C258" s="51" t="s">
        <v>192</v>
      </c>
      <c r="D258" s="51" t="s">
        <v>308</v>
      </c>
      <c r="E258" s="51" t="s">
        <v>351</v>
      </c>
      <c r="F258" s="51" t="s">
        <v>341</v>
      </c>
      <c r="G258" s="52">
        <v>79.14</v>
      </c>
      <c r="H258" s="52"/>
      <c r="I258" s="52">
        <v>79.14</v>
      </c>
      <c r="J258" s="51" t="s">
        <v>342</v>
      </c>
    </row>
    <row r="259" ht="15.0" customHeight="1">
      <c r="A259" s="51">
        <v>50.0</v>
      </c>
      <c r="B259" s="51" t="s">
        <v>439</v>
      </c>
      <c r="C259" s="51" t="s">
        <v>192</v>
      </c>
      <c r="D259" s="51" t="s">
        <v>308</v>
      </c>
      <c r="E259" s="51" t="s">
        <v>352</v>
      </c>
      <c r="F259" s="51" t="s">
        <v>341</v>
      </c>
      <c r="G259" s="52">
        <v>0.3</v>
      </c>
      <c r="H259" s="52"/>
      <c r="I259" s="52">
        <v>0.3</v>
      </c>
      <c r="J259" s="51" t="s">
        <v>342</v>
      </c>
    </row>
    <row r="260" ht="15.0" customHeight="1">
      <c r="A260" s="51">
        <v>50.0</v>
      </c>
      <c r="B260" s="51" t="s">
        <v>439</v>
      </c>
      <c r="C260" s="51" t="s">
        <v>192</v>
      </c>
      <c r="D260" s="51" t="s">
        <v>308</v>
      </c>
      <c r="E260" s="51" t="s">
        <v>353</v>
      </c>
      <c r="F260" s="51" t="s">
        <v>354</v>
      </c>
      <c r="G260" s="52">
        <v>14.01</v>
      </c>
      <c r="H260" s="52">
        <v>14.03</v>
      </c>
      <c r="I260" s="52">
        <v>14.02</v>
      </c>
      <c r="J260" s="51" t="s">
        <v>342</v>
      </c>
    </row>
    <row r="261" ht="15.0" customHeight="1">
      <c r="A261" s="51">
        <v>51.0</v>
      </c>
      <c r="B261" s="51" t="s">
        <v>444</v>
      </c>
      <c r="C261" s="51" t="s">
        <v>192</v>
      </c>
      <c r="D261" s="51" t="s">
        <v>308</v>
      </c>
      <c r="E261" s="51" t="s">
        <v>340</v>
      </c>
      <c r="F261" s="51" t="s">
        <v>341</v>
      </c>
      <c r="G261" s="52">
        <v>0.42</v>
      </c>
      <c r="H261" s="52"/>
      <c r="I261" s="52">
        <v>0.42</v>
      </c>
      <c r="J261" s="51" t="s">
        <v>342</v>
      </c>
    </row>
    <row r="262" ht="15.0" customHeight="1">
      <c r="A262" s="51">
        <v>51.0</v>
      </c>
      <c r="B262" s="51" t="s">
        <v>444</v>
      </c>
      <c r="C262" s="51" t="s">
        <v>192</v>
      </c>
      <c r="D262" s="51" t="s">
        <v>308</v>
      </c>
      <c r="E262" s="51" t="s">
        <v>343</v>
      </c>
      <c r="F262" s="51" t="s">
        <v>341</v>
      </c>
      <c r="G262" s="52">
        <v>1.41</v>
      </c>
      <c r="H262" s="52"/>
      <c r="I262" s="52">
        <v>1.41</v>
      </c>
      <c r="J262" s="51" t="s">
        <v>342</v>
      </c>
    </row>
    <row r="263" ht="15.0" customHeight="1">
      <c r="A263" s="51">
        <v>51.0</v>
      </c>
      <c r="B263" s="51" t="s">
        <v>444</v>
      </c>
      <c r="C263" s="51" t="s">
        <v>192</v>
      </c>
      <c r="D263" s="51" t="s">
        <v>308</v>
      </c>
      <c r="E263" s="51" t="s">
        <v>344</v>
      </c>
      <c r="F263" s="51" t="s">
        <v>345</v>
      </c>
      <c r="G263" s="52"/>
      <c r="H263" s="52">
        <v>7.0</v>
      </c>
      <c r="I263" s="52">
        <v>7.0</v>
      </c>
      <c r="J263" s="51" t="s">
        <v>342</v>
      </c>
    </row>
    <row r="264" ht="15.0" customHeight="1">
      <c r="A264" s="51">
        <v>51.0</v>
      </c>
      <c r="B264" s="51" t="s">
        <v>444</v>
      </c>
      <c r="C264" s="51" t="s">
        <v>192</v>
      </c>
      <c r="D264" s="51" t="s">
        <v>308</v>
      </c>
      <c r="E264" s="51" t="s">
        <v>347</v>
      </c>
      <c r="F264" s="51" t="s">
        <v>341</v>
      </c>
      <c r="G264" s="52">
        <v>30.0</v>
      </c>
      <c r="H264" s="52"/>
      <c r="I264" s="52">
        <v>30.0</v>
      </c>
      <c r="J264" s="51" t="s">
        <v>342</v>
      </c>
    </row>
    <row r="265" ht="15.0" customHeight="1">
      <c r="A265" s="51">
        <v>51.0</v>
      </c>
      <c r="B265" s="51" t="s">
        <v>444</v>
      </c>
      <c r="C265" s="51" t="s">
        <v>192</v>
      </c>
      <c r="D265" s="51" t="s">
        <v>308</v>
      </c>
      <c r="E265" s="51" t="s">
        <v>351</v>
      </c>
      <c r="F265" s="51" t="s">
        <v>341</v>
      </c>
      <c r="G265" s="52">
        <v>79.14</v>
      </c>
      <c r="H265" s="52"/>
      <c r="I265" s="52">
        <v>79.14</v>
      </c>
      <c r="J265" s="51" t="s">
        <v>342</v>
      </c>
    </row>
    <row r="266" ht="15.0" customHeight="1">
      <c r="A266" s="51">
        <v>51.0</v>
      </c>
      <c r="B266" s="51" t="s">
        <v>444</v>
      </c>
      <c r="C266" s="51" t="s">
        <v>192</v>
      </c>
      <c r="D266" s="51" t="s">
        <v>308</v>
      </c>
      <c r="E266" s="51" t="s">
        <v>352</v>
      </c>
      <c r="F266" s="51" t="s">
        <v>341</v>
      </c>
      <c r="G266" s="52">
        <v>0.3</v>
      </c>
      <c r="H266" s="52"/>
      <c r="I266" s="52">
        <v>0.3</v>
      </c>
      <c r="J266" s="51" t="s">
        <v>342</v>
      </c>
    </row>
    <row r="267" ht="15.0" customHeight="1">
      <c r="A267" s="51">
        <v>51.0</v>
      </c>
      <c r="B267" s="51" t="s">
        <v>444</v>
      </c>
      <c r="C267" s="51" t="s">
        <v>192</v>
      </c>
      <c r="D267" s="51" t="s">
        <v>308</v>
      </c>
      <c r="E267" s="51" t="s">
        <v>353</v>
      </c>
      <c r="F267" s="51" t="s">
        <v>354</v>
      </c>
      <c r="G267" s="52">
        <v>14.01</v>
      </c>
      <c r="H267" s="52">
        <v>14.03</v>
      </c>
      <c r="I267" s="52">
        <v>14.02</v>
      </c>
      <c r="J267" s="51" t="s">
        <v>342</v>
      </c>
    </row>
    <row r="268" ht="15.0" customHeight="1">
      <c r="A268" s="51">
        <v>52.0</v>
      </c>
      <c r="B268" s="51" t="s">
        <v>448</v>
      </c>
      <c r="C268" s="51" t="s">
        <v>192</v>
      </c>
      <c r="D268" s="51" t="s">
        <v>308</v>
      </c>
      <c r="E268" s="51" t="s">
        <v>340</v>
      </c>
      <c r="F268" s="51" t="s">
        <v>341</v>
      </c>
      <c r="G268" s="52">
        <v>0.6228956228956228</v>
      </c>
      <c r="H268" s="52"/>
      <c r="I268" s="52">
        <v>0.6228956228956228</v>
      </c>
      <c r="J268" s="51" t="s">
        <v>342</v>
      </c>
    </row>
    <row r="269" ht="15.0" customHeight="1">
      <c r="A269" s="51">
        <v>52.0</v>
      </c>
      <c r="B269" s="51" t="s">
        <v>448</v>
      </c>
      <c r="C269" s="51" t="s">
        <v>192</v>
      </c>
      <c r="D269" s="51" t="s">
        <v>308</v>
      </c>
      <c r="E269" s="51" t="s">
        <v>343</v>
      </c>
      <c r="F269" s="51" t="s">
        <v>341</v>
      </c>
      <c r="G269" s="52">
        <v>1.48</v>
      </c>
      <c r="H269" s="52"/>
      <c r="I269" s="52">
        <v>1.48</v>
      </c>
      <c r="J269" s="51" t="s">
        <v>342</v>
      </c>
    </row>
    <row r="270" ht="15.0" customHeight="1">
      <c r="A270" s="51">
        <v>52.0</v>
      </c>
      <c r="B270" s="51" t="s">
        <v>448</v>
      </c>
      <c r="C270" s="51" t="s">
        <v>192</v>
      </c>
      <c r="D270" s="51" t="s">
        <v>308</v>
      </c>
      <c r="E270" s="51" t="s">
        <v>344</v>
      </c>
      <c r="F270" s="51" t="s">
        <v>345</v>
      </c>
      <c r="G270" s="52"/>
      <c r="H270" s="52">
        <v>7.0</v>
      </c>
      <c r="I270" s="52">
        <v>7.0</v>
      </c>
      <c r="J270" s="51" t="s">
        <v>342</v>
      </c>
    </row>
    <row r="271" ht="15.0" customHeight="1">
      <c r="A271" s="51">
        <v>52.0</v>
      </c>
      <c r="B271" s="51" t="s">
        <v>448</v>
      </c>
      <c r="C271" s="51" t="s">
        <v>192</v>
      </c>
      <c r="D271" s="51" t="s">
        <v>308</v>
      </c>
      <c r="E271" s="51" t="s">
        <v>347</v>
      </c>
      <c r="F271" s="51" t="s">
        <v>341</v>
      </c>
      <c r="G271" s="52">
        <v>30.0</v>
      </c>
      <c r="H271" s="52"/>
      <c r="I271" s="52">
        <v>30.0</v>
      </c>
      <c r="J271" s="51" t="s">
        <v>342</v>
      </c>
    </row>
    <row r="272" ht="15.0" customHeight="1">
      <c r="A272" s="51">
        <v>52.0</v>
      </c>
      <c r="B272" s="51" t="s">
        <v>448</v>
      </c>
      <c r="C272" s="51" t="s">
        <v>192</v>
      </c>
      <c r="D272" s="51" t="s">
        <v>308</v>
      </c>
      <c r="E272" s="51" t="s">
        <v>351</v>
      </c>
      <c r="F272" s="51" t="s">
        <v>341</v>
      </c>
      <c r="G272" s="52">
        <v>65.65656565656566</v>
      </c>
      <c r="H272" s="52"/>
      <c r="I272" s="52">
        <v>65.65656565656566</v>
      </c>
      <c r="J272" s="51" t="s">
        <v>342</v>
      </c>
    </row>
    <row r="273" ht="15.0" customHeight="1">
      <c r="A273" s="51">
        <v>52.0</v>
      </c>
      <c r="B273" s="51" t="s">
        <v>448</v>
      </c>
      <c r="C273" s="51" t="s">
        <v>192</v>
      </c>
      <c r="D273" s="51" t="s">
        <v>308</v>
      </c>
      <c r="E273" s="51" t="s">
        <v>352</v>
      </c>
      <c r="F273" s="51" t="s">
        <v>341</v>
      </c>
      <c r="G273" s="52">
        <v>0.42087542087542085</v>
      </c>
      <c r="H273" s="52"/>
      <c r="I273" s="52">
        <v>0.42087542087542085</v>
      </c>
      <c r="J273" s="51" t="s">
        <v>342</v>
      </c>
    </row>
    <row r="274" ht="15.0" customHeight="1">
      <c r="A274" s="51">
        <v>52.0</v>
      </c>
      <c r="B274" s="51" t="s">
        <v>448</v>
      </c>
      <c r="C274" s="51" t="s">
        <v>192</v>
      </c>
      <c r="D274" s="51" t="s">
        <v>308</v>
      </c>
      <c r="E274" s="51" t="s">
        <v>353</v>
      </c>
      <c r="F274" s="51" t="s">
        <v>354</v>
      </c>
      <c r="G274" s="52">
        <v>18.676868686868687</v>
      </c>
      <c r="H274" s="52">
        <v>18.69686868686869</v>
      </c>
      <c r="I274" s="52">
        <v>18.68686868686869</v>
      </c>
      <c r="J274" s="51" t="s">
        <v>342</v>
      </c>
    </row>
    <row r="275" ht="15.0" customHeight="1">
      <c r="A275" s="51">
        <v>53.0</v>
      </c>
      <c r="B275" s="51" t="s">
        <v>453</v>
      </c>
      <c r="C275" s="51" t="s">
        <v>192</v>
      </c>
      <c r="D275" s="51" t="s">
        <v>308</v>
      </c>
      <c r="E275" s="51" t="s">
        <v>340</v>
      </c>
      <c r="F275" s="51" t="s">
        <v>341</v>
      </c>
      <c r="G275" s="52">
        <v>0.6228956228956228</v>
      </c>
      <c r="H275" s="52"/>
      <c r="I275" s="52">
        <v>0.6228956228956228</v>
      </c>
      <c r="J275" s="51" t="s">
        <v>342</v>
      </c>
    </row>
    <row r="276" ht="15.0" customHeight="1">
      <c r="A276" s="51">
        <v>53.0</v>
      </c>
      <c r="B276" s="51" t="s">
        <v>453</v>
      </c>
      <c r="C276" s="51" t="s">
        <v>192</v>
      </c>
      <c r="D276" s="51" t="s">
        <v>308</v>
      </c>
      <c r="E276" s="51" t="s">
        <v>343</v>
      </c>
      <c r="F276" s="51" t="s">
        <v>341</v>
      </c>
      <c r="G276" s="52">
        <v>1.48</v>
      </c>
      <c r="H276" s="52"/>
      <c r="I276" s="52">
        <v>1.48</v>
      </c>
      <c r="J276" s="51" t="s">
        <v>342</v>
      </c>
    </row>
    <row r="277" ht="15.0" customHeight="1">
      <c r="A277" s="51">
        <v>53.0</v>
      </c>
      <c r="B277" s="51" t="s">
        <v>453</v>
      </c>
      <c r="C277" s="51" t="s">
        <v>192</v>
      </c>
      <c r="D277" s="51" t="s">
        <v>308</v>
      </c>
      <c r="E277" s="51" t="s">
        <v>344</v>
      </c>
      <c r="F277" s="51" t="s">
        <v>345</v>
      </c>
      <c r="G277" s="52"/>
      <c r="H277" s="52">
        <v>7.0</v>
      </c>
      <c r="I277" s="52">
        <v>7.0</v>
      </c>
      <c r="J277" s="51" t="s">
        <v>342</v>
      </c>
    </row>
    <row r="278" ht="15.0" customHeight="1">
      <c r="A278" s="51">
        <v>53.0</v>
      </c>
      <c r="B278" s="51" t="s">
        <v>453</v>
      </c>
      <c r="C278" s="51" t="s">
        <v>192</v>
      </c>
      <c r="D278" s="51" t="s">
        <v>308</v>
      </c>
      <c r="E278" s="51" t="s">
        <v>347</v>
      </c>
      <c r="F278" s="51" t="s">
        <v>341</v>
      </c>
      <c r="G278" s="52">
        <v>30.0</v>
      </c>
      <c r="H278" s="52"/>
      <c r="I278" s="52">
        <v>30.0</v>
      </c>
      <c r="J278" s="51" t="s">
        <v>342</v>
      </c>
    </row>
    <row r="279" ht="15.0" customHeight="1">
      <c r="A279" s="51">
        <v>53.0</v>
      </c>
      <c r="B279" s="51" t="s">
        <v>453</v>
      </c>
      <c r="C279" s="51" t="s">
        <v>192</v>
      </c>
      <c r="D279" s="51" t="s">
        <v>308</v>
      </c>
      <c r="E279" s="51" t="s">
        <v>351</v>
      </c>
      <c r="F279" s="51" t="s">
        <v>341</v>
      </c>
      <c r="G279" s="52">
        <v>65.65656565656566</v>
      </c>
      <c r="H279" s="52"/>
      <c r="I279" s="52">
        <v>65.65656565656566</v>
      </c>
      <c r="J279" s="51" t="s">
        <v>342</v>
      </c>
    </row>
    <row r="280" ht="15.0" customHeight="1">
      <c r="A280" s="51">
        <v>53.0</v>
      </c>
      <c r="B280" s="51" t="s">
        <v>453</v>
      </c>
      <c r="C280" s="51" t="s">
        <v>192</v>
      </c>
      <c r="D280" s="51" t="s">
        <v>308</v>
      </c>
      <c r="E280" s="51" t="s">
        <v>352</v>
      </c>
      <c r="F280" s="51" t="s">
        <v>341</v>
      </c>
      <c r="G280" s="52">
        <v>0.42087542087542085</v>
      </c>
      <c r="H280" s="52"/>
      <c r="I280" s="52">
        <v>0.42087542087542085</v>
      </c>
      <c r="J280" s="51" t="s">
        <v>342</v>
      </c>
    </row>
    <row r="281" ht="15.0" customHeight="1">
      <c r="A281" s="51">
        <v>53.0</v>
      </c>
      <c r="B281" s="51" t="s">
        <v>453</v>
      </c>
      <c r="C281" s="51" t="s">
        <v>192</v>
      </c>
      <c r="D281" s="51" t="s">
        <v>308</v>
      </c>
      <c r="E281" s="51" t="s">
        <v>353</v>
      </c>
      <c r="F281" s="51" t="s">
        <v>354</v>
      </c>
      <c r="G281" s="52">
        <v>18.676868686868687</v>
      </c>
      <c r="H281" s="52">
        <v>18.69686868686869</v>
      </c>
      <c r="I281" s="52">
        <v>18.68686868686869</v>
      </c>
      <c r="J281" s="51" t="s">
        <v>342</v>
      </c>
    </row>
    <row r="282" ht="15.0" customHeight="1">
      <c r="A282" s="51">
        <v>54.0</v>
      </c>
      <c r="B282" s="51" t="s">
        <v>456</v>
      </c>
      <c r="C282" s="51" t="s">
        <v>192</v>
      </c>
      <c r="D282" s="51" t="s">
        <v>308</v>
      </c>
      <c r="E282" s="51" t="s">
        <v>340</v>
      </c>
      <c r="F282" s="51" t="s">
        <v>341</v>
      </c>
      <c r="G282" s="52">
        <v>0.8388157894736842</v>
      </c>
      <c r="H282" s="52"/>
      <c r="I282" s="52">
        <v>0.8388157894736842</v>
      </c>
      <c r="J282" s="51" t="s">
        <v>342</v>
      </c>
    </row>
    <row r="283" ht="15.0" customHeight="1">
      <c r="A283" s="51">
        <v>54.0</v>
      </c>
      <c r="B283" s="51" t="s">
        <v>456</v>
      </c>
      <c r="C283" s="51" t="s">
        <v>192</v>
      </c>
      <c r="D283" s="51" t="s">
        <v>308</v>
      </c>
      <c r="E283" s="51" t="s">
        <v>343</v>
      </c>
      <c r="F283" s="51" t="s">
        <v>341</v>
      </c>
      <c r="G283" s="52">
        <v>1.4571428571428573</v>
      </c>
      <c r="H283" s="52"/>
      <c r="I283" s="52">
        <v>1.4571428571428573</v>
      </c>
      <c r="J283" s="51" t="s">
        <v>342</v>
      </c>
    </row>
    <row r="284" ht="15.0" customHeight="1">
      <c r="A284" s="51">
        <v>54.0</v>
      </c>
      <c r="B284" s="51" t="s">
        <v>456</v>
      </c>
      <c r="C284" s="51" t="s">
        <v>192</v>
      </c>
      <c r="D284" s="51" t="s">
        <v>308</v>
      </c>
      <c r="E284" s="51" t="s">
        <v>344</v>
      </c>
      <c r="F284" s="51" t="s">
        <v>345</v>
      </c>
      <c r="G284" s="52"/>
      <c r="H284" s="52">
        <v>7.0</v>
      </c>
      <c r="I284" s="52">
        <v>7.0</v>
      </c>
      <c r="J284" s="51" t="s">
        <v>342</v>
      </c>
    </row>
    <row r="285" ht="15.0" customHeight="1">
      <c r="A285" s="51">
        <v>54.0</v>
      </c>
      <c r="B285" s="51" t="s">
        <v>456</v>
      </c>
      <c r="C285" s="51" t="s">
        <v>192</v>
      </c>
      <c r="D285" s="51" t="s">
        <v>308</v>
      </c>
      <c r="E285" s="51" t="s">
        <v>347</v>
      </c>
      <c r="F285" s="51" t="s">
        <v>341</v>
      </c>
      <c r="G285" s="52">
        <v>30.0</v>
      </c>
      <c r="H285" s="52"/>
      <c r="I285" s="52">
        <v>30.0</v>
      </c>
      <c r="J285" s="51" t="s">
        <v>342</v>
      </c>
    </row>
    <row r="286" ht="15.0" customHeight="1">
      <c r="A286" s="51">
        <v>54.0</v>
      </c>
      <c r="B286" s="51" t="s">
        <v>456</v>
      </c>
      <c r="C286" s="51" t="s">
        <v>192</v>
      </c>
      <c r="D286" s="51" t="s">
        <v>308</v>
      </c>
      <c r="E286" s="51" t="s">
        <v>351</v>
      </c>
      <c r="F286" s="51" t="s">
        <v>341</v>
      </c>
      <c r="G286" s="52">
        <v>78.94736842105263</v>
      </c>
      <c r="H286" s="52"/>
      <c r="I286" s="52">
        <v>78.94736842105263</v>
      </c>
      <c r="J286" s="51" t="s">
        <v>342</v>
      </c>
    </row>
    <row r="287" ht="15.0" customHeight="1">
      <c r="A287" s="51">
        <v>54.0</v>
      </c>
      <c r="B287" s="51" t="s">
        <v>456</v>
      </c>
      <c r="C287" s="51" t="s">
        <v>192</v>
      </c>
      <c r="D287" s="51" t="s">
        <v>308</v>
      </c>
      <c r="E287" s="51" t="s">
        <v>352</v>
      </c>
      <c r="F287" s="51" t="s">
        <v>341</v>
      </c>
      <c r="G287" s="52">
        <v>0.575657894736842</v>
      </c>
      <c r="H287" s="52"/>
      <c r="I287" s="52">
        <v>0.575657894736842</v>
      </c>
      <c r="J287" s="51" t="s">
        <v>342</v>
      </c>
    </row>
    <row r="288" ht="15.0" customHeight="1">
      <c r="A288" s="51">
        <v>54.0</v>
      </c>
      <c r="B288" s="51" t="s">
        <v>456</v>
      </c>
      <c r="C288" s="51" t="s">
        <v>192</v>
      </c>
      <c r="D288" s="51" t="s">
        <v>308</v>
      </c>
      <c r="E288" s="51" t="s">
        <v>353</v>
      </c>
      <c r="F288" s="51" t="s">
        <v>354</v>
      </c>
      <c r="G288" s="52">
        <v>24.332105263157892</v>
      </c>
      <c r="H288" s="52">
        <v>24.352105263157895</v>
      </c>
      <c r="I288" s="52">
        <v>24.342105263157894</v>
      </c>
      <c r="J288" s="51" t="s">
        <v>342</v>
      </c>
    </row>
    <row r="289" ht="15.0" customHeight="1">
      <c r="A289" s="51">
        <v>55.0</v>
      </c>
      <c r="B289" s="51" t="s">
        <v>387</v>
      </c>
      <c r="C289" s="51" t="s">
        <v>192</v>
      </c>
      <c r="D289" s="51" t="s">
        <v>308</v>
      </c>
      <c r="E289" s="51" t="s">
        <v>340</v>
      </c>
      <c r="F289" s="51" t="s">
        <v>341</v>
      </c>
      <c r="G289" s="52">
        <v>0.8388157894736842</v>
      </c>
      <c r="H289" s="52"/>
      <c r="I289" s="52">
        <v>0.8388157894736842</v>
      </c>
      <c r="J289" s="51" t="s">
        <v>342</v>
      </c>
    </row>
    <row r="290" ht="15.0" customHeight="1">
      <c r="A290" s="51">
        <v>55.0</v>
      </c>
      <c r="B290" s="51" t="s">
        <v>387</v>
      </c>
      <c r="C290" s="51" t="s">
        <v>192</v>
      </c>
      <c r="D290" s="51" t="s">
        <v>308</v>
      </c>
      <c r="E290" s="51" t="s">
        <v>343</v>
      </c>
      <c r="F290" s="51" t="s">
        <v>341</v>
      </c>
      <c r="G290" s="52">
        <v>1.4571428571428573</v>
      </c>
      <c r="H290" s="52"/>
      <c r="I290" s="52">
        <v>1.4571428571428573</v>
      </c>
      <c r="J290" s="51" t="s">
        <v>342</v>
      </c>
    </row>
    <row r="291" ht="15.0" customHeight="1">
      <c r="A291" s="51">
        <v>55.0</v>
      </c>
      <c r="B291" s="51" t="s">
        <v>387</v>
      </c>
      <c r="C291" s="51" t="s">
        <v>192</v>
      </c>
      <c r="D291" s="51" t="s">
        <v>308</v>
      </c>
      <c r="E291" s="51" t="s">
        <v>344</v>
      </c>
      <c r="F291" s="51" t="s">
        <v>345</v>
      </c>
      <c r="G291" s="52"/>
      <c r="H291" s="52">
        <v>7.0</v>
      </c>
      <c r="I291" s="52">
        <v>7.0</v>
      </c>
      <c r="J291" s="51" t="s">
        <v>342</v>
      </c>
    </row>
    <row r="292" ht="15.0" customHeight="1">
      <c r="A292" s="51">
        <v>55.0</v>
      </c>
      <c r="B292" s="51" t="s">
        <v>387</v>
      </c>
      <c r="C292" s="51" t="s">
        <v>192</v>
      </c>
      <c r="D292" s="51" t="s">
        <v>308</v>
      </c>
      <c r="E292" s="51" t="s">
        <v>347</v>
      </c>
      <c r="F292" s="51" t="s">
        <v>341</v>
      </c>
      <c r="G292" s="52">
        <v>30.0</v>
      </c>
      <c r="H292" s="52"/>
      <c r="I292" s="52">
        <v>30.0</v>
      </c>
      <c r="J292" s="51" t="s">
        <v>342</v>
      </c>
    </row>
    <row r="293" ht="15.0" customHeight="1">
      <c r="A293" s="51">
        <v>55.0</v>
      </c>
      <c r="B293" s="51" t="s">
        <v>387</v>
      </c>
      <c r="C293" s="51" t="s">
        <v>192</v>
      </c>
      <c r="D293" s="51" t="s">
        <v>308</v>
      </c>
      <c r="E293" s="51" t="s">
        <v>351</v>
      </c>
      <c r="F293" s="51" t="s">
        <v>341</v>
      </c>
      <c r="G293" s="52">
        <v>78.94736842105263</v>
      </c>
      <c r="H293" s="52"/>
      <c r="I293" s="52">
        <v>78.94736842105263</v>
      </c>
      <c r="J293" s="51" t="s">
        <v>342</v>
      </c>
    </row>
    <row r="294" ht="15.0" customHeight="1">
      <c r="A294" s="51">
        <v>55.0</v>
      </c>
      <c r="B294" s="51" t="s">
        <v>387</v>
      </c>
      <c r="C294" s="51" t="s">
        <v>192</v>
      </c>
      <c r="D294" s="51" t="s">
        <v>308</v>
      </c>
      <c r="E294" s="51" t="s">
        <v>352</v>
      </c>
      <c r="F294" s="51" t="s">
        <v>341</v>
      </c>
      <c r="G294" s="52">
        <v>0.575657894736842</v>
      </c>
      <c r="H294" s="52"/>
      <c r="I294" s="52">
        <v>0.575657894736842</v>
      </c>
      <c r="J294" s="51" t="s">
        <v>342</v>
      </c>
    </row>
    <row r="295" ht="15.0" customHeight="1">
      <c r="A295" s="51">
        <v>55.0</v>
      </c>
      <c r="B295" s="51" t="s">
        <v>387</v>
      </c>
      <c r="C295" s="51" t="s">
        <v>192</v>
      </c>
      <c r="D295" s="51" t="s">
        <v>308</v>
      </c>
      <c r="E295" s="51" t="s">
        <v>353</v>
      </c>
      <c r="F295" s="51" t="s">
        <v>354</v>
      </c>
      <c r="G295" s="52">
        <v>24.332105263157892</v>
      </c>
      <c r="H295" s="52">
        <v>24.352105263157895</v>
      </c>
      <c r="I295" s="52">
        <v>24.342105263157894</v>
      </c>
      <c r="J295" s="51" t="s">
        <v>342</v>
      </c>
    </row>
    <row r="296" ht="15.0" customHeight="1">
      <c r="A296" s="51">
        <v>56.0</v>
      </c>
      <c r="B296" s="51" t="s">
        <v>463</v>
      </c>
      <c r="C296" s="51" t="s">
        <v>192</v>
      </c>
      <c r="D296" s="51" t="s">
        <v>308</v>
      </c>
      <c r="E296" s="51" t="s">
        <v>340</v>
      </c>
      <c r="F296" s="51" t="s">
        <v>341</v>
      </c>
      <c r="G296" s="52">
        <v>0.389363722697056</v>
      </c>
      <c r="H296" s="52"/>
      <c r="I296" s="52">
        <v>0.389363722697056</v>
      </c>
      <c r="J296" s="51" t="s">
        <v>342</v>
      </c>
    </row>
    <row r="297" ht="15.0" customHeight="1">
      <c r="A297" s="51">
        <v>56.0</v>
      </c>
      <c r="B297" s="51" t="s">
        <v>463</v>
      </c>
      <c r="C297" s="51" t="s">
        <v>192</v>
      </c>
      <c r="D297" s="51" t="s">
        <v>308</v>
      </c>
      <c r="E297" s="51" t="s">
        <v>343</v>
      </c>
      <c r="F297" s="51" t="s">
        <v>341</v>
      </c>
      <c r="G297" s="52">
        <v>1.4137931034482756</v>
      </c>
      <c r="H297" s="52"/>
      <c r="I297" s="52">
        <v>1.4137931034482756</v>
      </c>
      <c r="J297" s="51" t="s">
        <v>342</v>
      </c>
    </row>
    <row r="298" ht="15.0" customHeight="1">
      <c r="A298" s="51">
        <v>56.0</v>
      </c>
      <c r="B298" s="51" t="s">
        <v>463</v>
      </c>
      <c r="C298" s="51" t="s">
        <v>192</v>
      </c>
      <c r="D298" s="51" t="s">
        <v>308</v>
      </c>
      <c r="E298" s="51" t="s">
        <v>344</v>
      </c>
      <c r="F298" s="51" t="s">
        <v>345</v>
      </c>
      <c r="G298" s="52"/>
      <c r="H298" s="52">
        <v>7.0</v>
      </c>
      <c r="I298" s="52">
        <v>7.0</v>
      </c>
      <c r="J298" s="51" t="s">
        <v>342</v>
      </c>
    </row>
    <row r="299" ht="15.0" customHeight="1">
      <c r="A299" s="51">
        <v>56.0</v>
      </c>
      <c r="B299" s="51" t="s">
        <v>463</v>
      </c>
      <c r="C299" s="51" t="s">
        <v>192</v>
      </c>
      <c r="D299" s="51" t="s">
        <v>308</v>
      </c>
      <c r="E299" s="51" t="s">
        <v>347</v>
      </c>
      <c r="F299" s="51" t="s">
        <v>341</v>
      </c>
      <c r="G299" s="52">
        <v>30.0</v>
      </c>
      <c r="H299" s="52"/>
      <c r="I299" s="52">
        <v>30.0</v>
      </c>
      <c r="J299" s="51" t="s">
        <v>342</v>
      </c>
    </row>
    <row r="300" ht="15.0" customHeight="1">
      <c r="A300" s="51">
        <v>56.0</v>
      </c>
      <c r="B300" s="51" t="s">
        <v>463</v>
      </c>
      <c r="C300" s="51" t="s">
        <v>192</v>
      </c>
      <c r="D300" s="51" t="s">
        <v>308</v>
      </c>
      <c r="E300" s="51" t="s">
        <v>351</v>
      </c>
      <c r="F300" s="51" t="s">
        <v>341</v>
      </c>
      <c r="G300" s="52">
        <v>53.181386514719854</v>
      </c>
      <c r="H300" s="52"/>
      <c r="I300" s="52">
        <v>53.181386514719854</v>
      </c>
      <c r="J300" s="51" t="s">
        <v>342</v>
      </c>
    </row>
    <row r="301" ht="15.0" customHeight="1">
      <c r="A301" s="51">
        <v>56.0</v>
      </c>
      <c r="B301" s="51" t="s">
        <v>463</v>
      </c>
      <c r="C301" s="51" t="s">
        <v>192</v>
      </c>
      <c r="D301" s="51" t="s">
        <v>308</v>
      </c>
      <c r="E301" s="51" t="s">
        <v>352</v>
      </c>
      <c r="F301" s="51" t="s">
        <v>341</v>
      </c>
      <c r="G301" s="52">
        <v>0.2754036087369421</v>
      </c>
      <c r="H301" s="52"/>
      <c r="I301" s="52">
        <v>0.2754036087369421</v>
      </c>
      <c r="J301" s="51" t="s">
        <v>342</v>
      </c>
    </row>
    <row r="302" ht="15.0" customHeight="1">
      <c r="A302" s="51">
        <v>56.0</v>
      </c>
      <c r="B302" s="51" t="s">
        <v>463</v>
      </c>
      <c r="C302" s="51" t="s">
        <v>192</v>
      </c>
      <c r="D302" s="51" t="s">
        <v>308</v>
      </c>
      <c r="E302" s="51" t="s">
        <v>353</v>
      </c>
      <c r="F302" s="51" t="s">
        <v>354</v>
      </c>
      <c r="G302" s="52">
        <v>12.430645773979107</v>
      </c>
      <c r="H302" s="52">
        <v>12.450645773979106</v>
      </c>
      <c r="I302" s="52">
        <v>12.440645773979107</v>
      </c>
      <c r="J302" s="51" t="s">
        <v>342</v>
      </c>
    </row>
    <row r="303" ht="15.0" customHeight="1">
      <c r="A303" s="51">
        <v>57.0</v>
      </c>
      <c r="B303" s="51" t="s">
        <v>467</v>
      </c>
      <c r="C303" s="51" t="s">
        <v>192</v>
      </c>
      <c r="D303" s="51" t="s">
        <v>308</v>
      </c>
      <c r="E303" s="51" t="s">
        <v>340</v>
      </c>
      <c r="F303" s="51" t="s">
        <v>341</v>
      </c>
      <c r="G303" s="52">
        <v>0.389363722697056</v>
      </c>
      <c r="H303" s="52"/>
      <c r="I303" s="52">
        <v>0.389363722697056</v>
      </c>
      <c r="J303" s="51" t="s">
        <v>342</v>
      </c>
    </row>
    <row r="304" ht="15.0" customHeight="1">
      <c r="A304" s="51">
        <v>57.0</v>
      </c>
      <c r="B304" s="51" t="s">
        <v>467</v>
      </c>
      <c r="C304" s="51" t="s">
        <v>192</v>
      </c>
      <c r="D304" s="51" t="s">
        <v>308</v>
      </c>
      <c r="E304" s="51" t="s">
        <v>343</v>
      </c>
      <c r="F304" s="51" t="s">
        <v>341</v>
      </c>
      <c r="G304" s="52">
        <v>1.4137931034482756</v>
      </c>
      <c r="H304" s="52"/>
      <c r="I304" s="52">
        <v>1.4137931034482756</v>
      </c>
      <c r="J304" s="51" t="s">
        <v>342</v>
      </c>
    </row>
    <row r="305" ht="15.0" customHeight="1">
      <c r="A305" s="51">
        <v>57.0</v>
      </c>
      <c r="B305" s="51" t="s">
        <v>467</v>
      </c>
      <c r="C305" s="51" t="s">
        <v>192</v>
      </c>
      <c r="D305" s="51" t="s">
        <v>308</v>
      </c>
      <c r="E305" s="51" t="s">
        <v>344</v>
      </c>
      <c r="F305" s="51" t="s">
        <v>345</v>
      </c>
      <c r="G305" s="52"/>
      <c r="H305" s="52">
        <v>7.0</v>
      </c>
      <c r="I305" s="52">
        <v>7.0</v>
      </c>
      <c r="J305" s="51" t="s">
        <v>342</v>
      </c>
    </row>
    <row r="306" ht="15.0" customHeight="1">
      <c r="A306" s="51">
        <v>57.0</v>
      </c>
      <c r="B306" s="51" t="s">
        <v>467</v>
      </c>
      <c r="C306" s="51" t="s">
        <v>192</v>
      </c>
      <c r="D306" s="51" t="s">
        <v>308</v>
      </c>
      <c r="E306" s="51" t="s">
        <v>347</v>
      </c>
      <c r="F306" s="51" t="s">
        <v>341</v>
      </c>
      <c r="G306" s="52">
        <v>30.0</v>
      </c>
      <c r="H306" s="52"/>
      <c r="I306" s="52">
        <v>30.0</v>
      </c>
      <c r="J306" s="51" t="s">
        <v>342</v>
      </c>
    </row>
    <row r="307" ht="15.0" customHeight="1">
      <c r="A307" s="51">
        <v>57.0</v>
      </c>
      <c r="B307" s="51" t="s">
        <v>467</v>
      </c>
      <c r="C307" s="51" t="s">
        <v>192</v>
      </c>
      <c r="D307" s="51" t="s">
        <v>308</v>
      </c>
      <c r="E307" s="51" t="s">
        <v>351</v>
      </c>
      <c r="F307" s="51" t="s">
        <v>341</v>
      </c>
      <c r="G307" s="52">
        <v>53.181386514719854</v>
      </c>
      <c r="H307" s="52"/>
      <c r="I307" s="52">
        <v>53.181386514719854</v>
      </c>
      <c r="J307" s="51" t="s">
        <v>342</v>
      </c>
    </row>
    <row r="308" ht="15.0" customHeight="1">
      <c r="A308" s="51">
        <v>57.0</v>
      </c>
      <c r="B308" s="51" t="s">
        <v>467</v>
      </c>
      <c r="C308" s="51" t="s">
        <v>192</v>
      </c>
      <c r="D308" s="51" t="s">
        <v>308</v>
      </c>
      <c r="E308" s="51" t="s">
        <v>352</v>
      </c>
      <c r="F308" s="51" t="s">
        <v>341</v>
      </c>
      <c r="G308" s="52">
        <v>0.2754036087369421</v>
      </c>
      <c r="H308" s="52"/>
      <c r="I308" s="52">
        <v>0.2754036087369421</v>
      </c>
      <c r="J308" s="51" t="s">
        <v>342</v>
      </c>
    </row>
    <row r="309" ht="15.0" customHeight="1">
      <c r="A309" s="51">
        <v>57.0</v>
      </c>
      <c r="B309" s="51" t="s">
        <v>467</v>
      </c>
      <c r="C309" s="51" t="s">
        <v>192</v>
      </c>
      <c r="D309" s="51" t="s">
        <v>308</v>
      </c>
      <c r="E309" s="51" t="s">
        <v>353</v>
      </c>
      <c r="F309" s="51" t="s">
        <v>354</v>
      </c>
      <c r="G309" s="52">
        <v>12.430645773979107</v>
      </c>
      <c r="H309" s="52">
        <v>12.450645773979106</v>
      </c>
      <c r="I309" s="52">
        <v>12.440645773979107</v>
      </c>
      <c r="J309" s="51" t="s">
        <v>342</v>
      </c>
    </row>
    <row r="310" ht="15.0" customHeight="1">
      <c r="A310" s="51">
        <v>58.0</v>
      </c>
      <c r="B310" s="51" t="s">
        <v>471</v>
      </c>
      <c r="C310" s="51" t="s">
        <v>192</v>
      </c>
      <c r="D310" s="51" t="s">
        <v>308</v>
      </c>
      <c r="E310" s="51" t="s">
        <v>340</v>
      </c>
      <c r="F310" s="51" t="s">
        <v>341</v>
      </c>
      <c r="G310" s="52">
        <v>0.42</v>
      </c>
      <c r="H310" s="52"/>
      <c r="I310" s="52">
        <v>0.42</v>
      </c>
      <c r="J310" s="51" t="s">
        <v>342</v>
      </c>
    </row>
    <row r="311" ht="15.0" customHeight="1">
      <c r="A311" s="51">
        <v>58.0</v>
      </c>
      <c r="B311" s="51" t="s">
        <v>471</v>
      </c>
      <c r="C311" s="51" t="s">
        <v>192</v>
      </c>
      <c r="D311" s="51" t="s">
        <v>308</v>
      </c>
      <c r="E311" s="51" t="s">
        <v>343</v>
      </c>
      <c r="F311" s="51" t="s">
        <v>341</v>
      </c>
      <c r="G311" s="52">
        <v>1.41</v>
      </c>
      <c r="H311" s="52"/>
      <c r="I311" s="52">
        <v>1.41</v>
      </c>
      <c r="J311" s="51" t="s">
        <v>342</v>
      </c>
    </row>
    <row r="312" ht="15.0" customHeight="1">
      <c r="A312" s="51">
        <v>58.0</v>
      </c>
      <c r="B312" s="51" t="s">
        <v>471</v>
      </c>
      <c r="C312" s="51" t="s">
        <v>192</v>
      </c>
      <c r="D312" s="51" t="s">
        <v>308</v>
      </c>
      <c r="E312" s="51" t="s">
        <v>344</v>
      </c>
      <c r="F312" s="51" t="s">
        <v>345</v>
      </c>
      <c r="G312" s="52"/>
      <c r="H312" s="52">
        <v>7.0</v>
      </c>
      <c r="I312" s="52">
        <v>7.0</v>
      </c>
      <c r="J312" s="51" t="s">
        <v>342</v>
      </c>
    </row>
    <row r="313" ht="15.0" customHeight="1">
      <c r="A313" s="51">
        <v>58.0</v>
      </c>
      <c r="B313" s="51" t="s">
        <v>471</v>
      </c>
      <c r="C313" s="51" t="s">
        <v>192</v>
      </c>
      <c r="D313" s="51" t="s">
        <v>308</v>
      </c>
      <c r="E313" s="51" t="s">
        <v>347</v>
      </c>
      <c r="F313" s="51" t="s">
        <v>341</v>
      </c>
      <c r="G313" s="52">
        <v>30.0</v>
      </c>
      <c r="H313" s="52"/>
      <c r="I313" s="52">
        <v>30.0</v>
      </c>
      <c r="J313" s="51" t="s">
        <v>342</v>
      </c>
    </row>
    <row r="314" ht="15.0" customHeight="1">
      <c r="A314" s="51">
        <v>58.0</v>
      </c>
      <c r="B314" s="51" t="s">
        <v>471</v>
      </c>
      <c r="C314" s="51" t="s">
        <v>192</v>
      </c>
      <c r="D314" s="51" t="s">
        <v>308</v>
      </c>
      <c r="E314" s="51" t="s">
        <v>351</v>
      </c>
      <c r="F314" s="51" t="s">
        <v>341</v>
      </c>
      <c r="G314" s="52">
        <v>79.14</v>
      </c>
      <c r="H314" s="52"/>
      <c r="I314" s="52">
        <v>79.14</v>
      </c>
      <c r="J314" s="51" t="s">
        <v>342</v>
      </c>
    </row>
    <row r="315" ht="15.0" customHeight="1">
      <c r="A315" s="51">
        <v>58.0</v>
      </c>
      <c r="B315" s="51" t="s">
        <v>471</v>
      </c>
      <c r="C315" s="51" t="s">
        <v>192</v>
      </c>
      <c r="D315" s="51" t="s">
        <v>308</v>
      </c>
      <c r="E315" s="51" t="s">
        <v>352</v>
      </c>
      <c r="F315" s="51" t="s">
        <v>341</v>
      </c>
      <c r="G315" s="52">
        <v>0.3</v>
      </c>
      <c r="H315" s="52"/>
      <c r="I315" s="52">
        <v>0.3</v>
      </c>
      <c r="J315" s="51" t="s">
        <v>342</v>
      </c>
    </row>
    <row r="316" ht="15.0" customHeight="1">
      <c r="A316" s="51">
        <v>58.0</v>
      </c>
      <c r="B316" s="51" t="s">
        <v>471</v>
      </c>
      <c r="C316" s="51" t="s">
        <v>192</v>
      </c>
      <c r="D316" s="51" t="s">
        <v>308</v>
      </c>
      <c r="E316" s="51" t="s">
        <v>353</v>
      </c>
      <c r="F316" s="51" t="s">
        <v>354</v>
      </c>
      <c r="G316" s="52">
        <v>14.01</v>
      </c>
      <c r="H316" s="52">
        <v>14.03</v>
      </c>
      <c r="I316" s="52">
        <v>14.02</v>
      </c>
      <c r="J316" s="51" t="s">
        <v>342</v>
      </c>
    </row>
    <row r="317" ht="15.0" customHeight="1">
      <c r="A317" s="51">
        <v>59.0</v>
      </c>
      <c r="B317" s="51" t="s">
        <v>474</v>
      </c>
      <c r="C317" s="51" t="s">
        <v>192</v>
      </c>
      <c r="D317" s="51" t="s">
        <v>308</v>
      </c>
      <c r="E317" s="51" t="s">
        <v>340</v>
      </c>
      <c r="F317" s="51" t="s">
        <v>341</v>
      </c>
      <c r="G317" s="52">
        <v>0.42</v>
      </c>
      <c r="H317" s="52"/>
      <c r="I317" s="52">
        <v>0.42</v>
      </c>
      <c r="J317" s="51" t="s">
        <v>342</v>
      </c>
    </row>
    <row r="318" ht="15.0" customHeight="1">
      <c r="A318" s="51">
        <v>59.0</v>
      </c>
      <c r="B318" s="51" t="s">
        <v>474</v>
      </c>
      <c r="C318" s="51" t="s">
        <v>192</v>
      </c>
      <c r="D318" s="51" t="s">
        <v>308</v>
      </c>
      <c r="E318" s="51" t="s">
        <v>343</v>
      </c>
      <c r="F318" s="51" t="s">
        <v>341</v>
      </c>
      <c r="G318" s="52">
        <v>1.41</v>
      </c>
      <c r="H318" s="52"/>
      <c r="I318" s="52">
        <v>1.41</v>
      </c>
      <c r="J318" s="51" t="s">
        <v>342</v>
      </c>
    </row>
    <row r="319" ht="15.0" customHeight="1">
      <c r="A319" s="51">
        <v>59.0</v>
      </c>
      <c r="B319" s="51" t="s">
        <v>474</v>
      </c>
      <c r="C319" s="51" t="s">
        <v>192</v>
      </c>
      <c r="D319" s="51" t="s">
        <v>308</v>
      </c>
      <c r="E319" s="51" t="s">
        <v>344</v>
      </c>
      <c r="F319" s="51" t="s">
        <v>345</v>
      </c>
      <c r="G319" s="52"/>
      <c r="H319" s="52">
        <v>7.0</v>
      </c>
      <c r="I319" s="52">
        <v>7.0</v>
      </c>
      <c r="J319" s="51" t="s">
        <v>342</v>
      </c>
    </row>
    <row r="320" ht="15.0" customHeight="1">
      <c r="A320" s="51">
        <v>59.0</v>
      </c>
      <c r="B320" s="51" t="s">
        <v>474</v>
      </c>
      <c r="C320" s="51" t="s">
        <v>192</v>
      </c>
      <c r="D320" s="51" t="s">
        <v>308</v>
      </c>
      <c r="E320" s="51" t="s">
        <v>347</v>
      </c>
      <c r="F320" s="51" t="s">
        <v>341</v>
      </c>
      <c r="G320" s="52">
        <v>30.0</v>
      </c>
      <c r="H320" s="52"/>
      <c r="I320" s="52">
        <v>30.0</v>
      </c>
      <c r="J320" s="51" t="s">
        <v>342</v>
      </c>
    </row>
    <row r="321" ht="15.0" customHeight="1">
      <c r="A321" s="51">
        <v>59.0</v>
      </c>
      <c r="B321" s="51" t="s">
        <v>474</v>
      </c>
      <c r="C321" s="51" t="s">
        <v>192</v>
      </c>
      <c r="D321" s="51" t="s">
        <v>308</v>
      </c>
      <c r="E321" s="51" t="s">
        <v>351</v>
      </c>
      <c r="F321" s="51" t="s">
        <v>341</v>
      </c>
      <c r="G321" s="52">
        <v>79.14</v>
      </c>
      <c r="H321" s="52"/>
      <c r="I321" s="52">
        <v>79.14</v>
      </c>
      <c r="J321" s="51" t="s">
        <v>342</v>
      </c>
    </row>
    <row r="322" ht="15.0" customHeight="1">
      <c r="A322" s="51">
        <v>59.0</v>
      </c>
      <c r="B322" s="51" t="s">
        <v>474</v>
      </c>
      <c r="C322" s="51" t="s">
        <v>192</v>
      </c>
      <c r="D322" s="51" t="s">
        <v>308</v>
      </c>
      <c r="E322" s="51" t="s">
        <v>352</v>
      </c>
      <c r="F322" s="51" t="s">
        <v>341</v>
      </c>
      <c r="G322" s="52">
        <v>0.3</v>
      </c>
      <c r="H322" s="52"/>
      <c r="I322" s="52">
        <v>0.3</v>
      </c>
      <c r="J322" s="51" t="s">
        <v>342</v>
      </c>
    </row>
    <row r="323" ht="15.0" customHeight="1">
      <c r="A323" s="51">
        <v>59.0</v>
      </c>
      <c r="B323" s="51" t="s">
        <v>474</v>
      </c>
      <c r="C323" s="51" t="s">
        <v>192</v>
      </c>
      <c r="D323" s="51" t="s">
        <v>308</v>
      </c>
      <c r="E323" s="51" t="s">
        <v>353</v>
      </c>
      <c r="F323" s="51" t="s">
        <v>354</v>
      </c>
      <c r="G323" s="52">
        <v>14.01</v>
      </c>
      <c r="H323" s="52">
        <v>14.03</v>
      </c>
      <c r="I323" s="52">
        <v>14.02</v>
      </c>
      <c r="J323" s="51" t="s">
        <v>342</v>
      </c>
    </row>
    <row r="324" ht="15.0" customHeight="1">
      <c r="A324" s="51">
        <v>60.0</v>
      </c>
      <c r="B324" s="51" t="s">
        <v>476</v>
      </c>
      <c r="C324" s="51" t="s">
        <v>192</v>
      </c>
      <c r="D324" s="51" t="s">
        <v>308</v>
      </c>
      <c r="E324" s="51" t="s">
        <v>340</v>
      </c>
      <c r="F324" s="51" t="s">
        <v>341</v>
      </c>
      <c r="G324" s="52">
        <v>0.35546874999999994</v>
      </c>
      <c r="H324" s="52"/>
      <c r="I324" s="52">
        <v>0.35546874999999994</v>
      </c>
      <c r="J324" s="51" t="s">
        <v>342</v>
      </c>
    </row>
    <row r="325" ht="15.0" customHeight="1">
      <c r="A325" s="51">
        <v>60.0</v>
      </c>
      <c r="B325" s="51" t="s">
        <v>476</v>
      </c>
      <c r="C325" s="51" t="s">
        <v>192</v>
      </c>
      <c r="D325" s="51" t="s">
        <v>308</v>
      </c>
      <c r="E325" s="51" t="s">
        <v>343</v>
      </c>
      <c r="F325" s="51" t="s">
        <v>341</v>
      </c>
      <c r="G325" s="52">
        <v>1.2465753424657533</v>
      </c>
      <c r="H325" s="52"/>
      <c r="I325" s="52">
        <v>1.2465753424657533</v>
      </c>
      <c r="J325" s="51" t="s">
        <v>342</v>
      </c>
    </row>
    <row r="326" ht="15.0" customHeight="1">
      <c r="A326" s="51">
        <v>60.0</v>
      </c>
      <c r="B326" s="51" t="s">
        <v>476</v>
      </c>
      <c r="C326" s="51" t="s">
        <v>192</v>
      </c>
      <c r="D326" s="51" t="s">
        <v>308</v>
      </c>
      <c r="E326" s="51" t="s">
        <v>344</v>
      </c>
      <c r="F326" s="51" t="s">
        <v>345</v>
      </c>
      <c r="G326" s="52"/>
      <c r="H326" s="52">
        <v>7.0</v>
      </c>
      <c r="I326" s="52">
        <v>7.0</v>
      </c>
      <c r="J326" s="51" t="s">
        <v>342</v>
      </c>
    </row>
    <row r="327" ht="15.0" customHeight="1">
      <c r="A327" s="51">
        <v>60.0</v>
      </c>
      <c r="B327" s="51" t="s">
        <v>476</v>
      </c>
      <c r="C327" s="51" t="s">
        <v>192</v>
      </c>
      <c r="D327" s="51" t="s">
        <v>308</v>
      </c>
      <c r="E327" s="51" t="s">
        <v>347</v>
      </c>
      <c r="F327" s="51" t="s">
        <v>341</v>
      </c>
      <c r="G327" s="52">
        <v>30.0</v>
      </c>
      <c r="H327" s="52"/>
      <c r="I327" s="52">
        <v>30.0</v>
      </c>
      <c r="J327" s="51" t="s">
        <v>342</v>
      </c>
    </row>
    <row r="328" ht="15.0" customHeight="1">
      <c r="A328" s="51">
        <v>60.0</v>
      </c>
      <c r="B328" s="51" t="s">
        <v>476</v>
      </c>
      <c r="C328" s="51" t="s">
        <v>192</v>
      </c>
      <c r="D328" s="51" t="s">
        <v>308</v>
      </c>
      <c r="E328" s="51" t="s">
        <v>351</v>
      </c>
      <c r="F328" s="51" t="s">
        <v>341</v>
      </c>
      <c r="G328" s="52">
        <v>66.40625</v>
      </c>
      <c r="H328" s="52"/>
      <c r="I328" s="52">
        <v>66.40625</v>
      </c>
      <c r="J328" s="51" t="s">
        <v>342</v>
      </c>
    </row>
    <row r="329" ht="15.0" customHeight="1">
      <c r="A329" s="51">
        <v>60.0</v>
      </c>
      <c r="B329" s="51" t="s">
        <v>476</v>
      </c>
      <c r="C329" s="51" t="s">
        <v>192</v>
      </c>
      <c r="D329" s="51" t="s">
        <v>308</v>
      </c>
      <c r="E329" s="51" t="s">
        <v>352</v>
      </c>
      <c r="F329" s="51" t="s">
        <v>341</v>
      </c>
      <c r="G329" s="52">
        <v>0.28515625</v>
      </c>
      <c r="H329" s="52"/>
      <c r="I329" s="52">
        <v>0.28515625</v>
      </c>
      <c r="J329" s="51" t="s">
        <v>342</v>
      </c>
    </row>
    <row r="330" ht="15.0" customHeight="1">
      <c r="A330" s="51">
        <v>60.0</v>
      </c>
      <c r="B330" s="51" t="s">
        <v>476</v>
      </c>
      <c r="C330" s="51" t="s">
        <v>192</v>
      </c>
      <c r="D330" s="51" t="s">
        <v>308</v>
      </c>
      <c r="E330" s="51" t="s">
        <v>353</v>
      </c>
      <c r="F330" s="51" t="s">
        <v>354</v>
      </c>
      <c r="G330" s="52">
        <v>11.5915625</v>
      </c>
      <c r="H330" s="52">
        <v>11.6115625</v>
      </c>
      <c r="I330" s="52">
        <v>11.6015625</v>
      </c>
      <c r="J330" s="51" t="s">
        <v>342</v>
      </c>
    </row>
    <row r="331" ht="15.0" customHeight="1">
      <c r="A331" s="51">
        <v>61.0</v>
      </c>
      <c r="B331" s="51" t="s">
        <v>480</v>
      </c>
      <c r="C331" s="51" t="s">
        <v>192</v>
      </c>
      <c r="D331" s="51" t="s">
        <v>308</v>
      </c>
      <c r="E331" s="51" t="s">
        <v>340</v>
      </c>
      <c r="F331" s="51" t="s">
        <v>341</v>
      </c>
      <c r="G331" s="52">
        <v>0.35121025154247754</v>
      </c>
      <c r="H331" s="52"/>
      <c r="I331" s="52">
        <v>0.35121025154247754</v>
      </c>
      <c r="J331" s="51" t="s">
        <v>342</v>
      </c>
    </row>
    <row r="332" ht="15.0" customHeight="1">
      <c r="A332" s="51">
        <v>61.0</v>
      </c>
      <c r="B332" s="51" t="s">
        <v>480</v>
      </c>
      <c r="C332" s="51" t="s">
        <v>192</v>
      </c>
      <c r="D332" s="51" t="s">
        <v>308</v>
      </c>
      <c r="E332" s="51" t="s">
        <v>343</v>
      </c>
      <c r="F332" s="51" t="s">
        <v>341</v>
      </c>
      <c r="G332" s="52">
        <v>1.254237288135593</v>
      </c>
      <c r="H332" s="52"/>
      <c r="I332" s="52">
        <v>1.254237288135593</v>
      </c>
      <c r="J332" s="51" t="s">
        <v>342</v>
      </c>
    </row>
    <row r="333" ht="15.0" customHeight="1">
      <c r="A333" s="51">
        <v>61.0</v>
      </c>
      <c r="B333" s="51" t="s">
        <v>480</v>
      </c>
      <c r="C333" s="51" t="s">
        <v>192</v>
      </c>
      <c r="D333" s="51" t="s">
        <v>308</v>
      </c>
      <c r="E333" s="51" t="s">
        <v>344</v>
      </c>
      <c r="F333" s="51" t="s">
        <v>345</v>
      </c>
      <c r="G333" s="52"/>
      <c r="H333" s="52">
        <v>7.0</v>
      </c>
      <c r="I333" s="52">
        <v>7.0</v>
      </c>
      <c r="J333" s="51" t="s">
        <v>342</v>
      </c>
    </row>
    <row r="334" ht="15.0" customHeight="1">
      <c r="A334" s="51">
        <v>61.0</v>
      </c>
      <c r="B334" s="51" t="s">
        <v>480</v>
      </c>
      <c r="C334" s="51" t="s">
        <v>192</v>
      </c>
      <c r="D334" s="51" t="s">
        <v>308</v>
      </c>
      <c r="E334" s="51" t="s">
        <v>347</v>
      </c>
      <c r="F334" s="51" t="s">
        <v>341</v>
      </c>
      <c r="G334" s="52">
        <v>30.0</v>
      </c>
      <c r="H334" s="52"/>
      <c r="I334" s="52">
        <v>30.0</v>
      </c>
      <c r="J334" s="51" t="s">
        <v>342</v>
      </c>
    </row>
    <row r="335" ht="15.0" customHeight="1">
      <c r="A335" s="51">
        <v>61.0</v>
      </c>
      <c r="B335" s="51" t="s">
        <v>480</v>
      </c>
      <c r="C335" s="51" t="s">
        <v>192</v>
      </c>
      <c r="D335" s="51" t="s">
        <v>308</v>
      </c>
      <c r="E335" s="51" t="s">
        <v>351</v>
      </c>
      <c r="F335" s="51" t="s">
        <v>341</v>
      </c>
      <c r="G335" s="52">
        <v>66.44518272425249</v>
      </c>
      <c r="H335" s="52"/>
      <c r="I335" s="52">
        <v>66.44518272425249</v>
      </c>
      <c r="J335" s="51" t="s">
        <v>342</v>
      </c>
    </row>
    <row r="336" ht="15.0" customHeight="1">
      <c r="A336" s="51">
        <v>61.0</v>
      </c>
      <c r="B336" s="51" t="s">
        <v>480</v>
      </c>
      <c r="C336" s="51" t="s">
        <v>192</v>
      </c>
      <c r="D336" s="51" t="s">
        <v>308</v>
      </c>
      <c r="E336" s="51" t="s">
        <v>352</v>
      </c>
      <c r="F336" s="51" t="s">
        <v>341</v>
      </c>
      <c r="G336" s="52">
        <v>0.28001898433792133</v>
      </c>
      <c r="H336" s="52"/>
      <c r="I336" s="52">
        <v>0.28001898433792133</v>
      </c>
      <c r="J336" s="51" t="s">
        <v>342</v>
      </c>
    </row>
    <row r="337" ht="15.0" customHeight="1">
      <c r="A337" s="51">
        <v>61.0</v>
      </c>
      <c r="B337" s="51" t="s">
        <v>480</v>
      </c>
      <c r="C337" s="51" t="s">
        <v>192</v>
      </c>
      <c r="D337" s="51" t="s">
        <v>308</v>
      </c>
      <c r="E337" s="51" t="s">
        <v>353</v>
      </c>
      <c r="F337" s="51" t="s">
        <v>354</v>
      </c>
      <c r="G337" s="52">
        <v>11.570446131941152</v>
      </c>
      <c r="H337" s="52">
        <v>11.590446131941151</v>
      </c>
      <c r="I337" s="52">
        <v>11.580446131941152</v>
      </c>
      <c r="J337" s="51" t="s">
        <v>342</v>
      </c>
    </row>
    <row r="338" ht="15.0" customHeight="1">
      <c r="A338" s="51">
        <v>62.0</v>
      </c>
      <c r="B338" s="51" t="s">
        <v>484</v>
      </c>
      <c r="C338" s="51" t="s">
        <v>192</v>
      </c>
      <c r="D338" s="51" t="s">
        <v>308</v>
      </c>
      <c r="E338" s="51" t="s">
        <v>340</v>
      </c>
      <c r="F338" s="51" t="s">
        <v>341</v>
      </c>
      <c r="G338" s="52">
        <v>0.242929659173314</v>
      </c>
      <c r="H338" s="52"/>
      <c r="I338" s="52">
        <v>0.242929659173314</v>
      </c>
      <c r="J338" s="51" t="s">
        <v>342</v>
      </c>
    </row>
    <row r="339" ht="15.0" customHeight="1">
      <c r="A339" s="51">
        <v>62.0</v>
      </c>
      <c r="B339" s="51" t="s">
        <v>484</v>
      </c>
      <c r="C339" s="51" t="s">
        <v>192</v>
      </c>
      <c r="D339" s="51" t="s">
        <v>308</v>
      </c>
      <c r="E339" s="51" t="s">
        <v>343</v>
      </c>
      <c r="F339" s="51" t="s">
        <v>341</v>
      </c>
      <c r="G339" s="52">
        <v>1.2181818181818183</v>
      </c>
      <c r="H339" s="52"/>
      <c r="I339" s="52">
        <v>1.2181818181818183</v>
      </c>
      <c r="J339" s="51" t="s">
        <v>342</v>
      </c>
    </row>
    <row r="340" ht="15.0" customHeight="1">
      <c r="A340" s="51">
        <v>62.0</v>
      </c>
      <c r="B340" s="51" t="s">
        <v>484</v>
      </c>
      <c r="C340" s="51" t="s">
        <v>192</v>
      </c>
      <c r="D340" s="51" t="s">
        <v>308</v>
      </c>
      <c r="E340" s="51" t="s">
        <v>344</v>
      </c>
      <c r="F340" s="51" t="s">
        <v>345</v>
      </c>
      <c r="G340" s="52"/>
      <c r="H340" s="52">
        <v>7.0</v>
      </c>
      <c r="I340" s="52">
        <v>7.0</v>
      </c>
      <c r="J340" s="51" t="s">
        <v>342</v>
      </c>
    </row>
    <row r="341" ht="15.0" customHeight="1">
      <c r="A341" s="51">
        <v>62.0</v>
      </c>
      <c r="B341" s="51" t="s">
        <v>484</v>
      </c>
      <c r="C341" s="51" t="s">
        <v>192</v>
      </c>
      <c r="D341" s="51" t="s">
        <v>308</v>
      </c>
      <c r="E341" s="51" t="s">
        <v>347</v>
      </c>
      <c r="F341" s="51" t="s">
        <v>345</v>
      </c>
      <c r="G341" s="52"/>
      <c r="H341" s="52">
        <v>15.0</v>
      </c>
      <c r="I341" s="52">
        <v>30.0</v>
      </c>
      <c r="J341" s="51" t="s">
        <v>260</v>
      </c>
    </row>
    <row r="342" ht="15.0" customHeight="1">
      <c r="A342" s="51">
        <v>62.0</v>
      </c>
      <c r="B342" s="51" t="s">
        <v>484</v>
      </c>
      <c r="C342" s="51" t="s">
        <v>192</v>
      </c>
      <c r="D342" s="51" t="s">
        <v>308</v>
      </c>
      <c r="E342" s="51" t="s">
        <v>351</v>
      </c>
      <c r="F342" s="51" t="s">
        <v>341</v>
      </c>
      <c r="G342" s="52">
        <v>80.0</v>
      </c>
      <c r="H342" s="52"/>
      <c r="I342" s="52">
        <v>52.9369108049311</v>
      </c>
      <c r="J342" s="51" t="s">
        <v>260</v>
      </c>
    </row>
    <row r="343" ht="15.0" customHeight="1">
      <c r="A343" s="51">
        <v>62.0</v>
      </c>
      <c r="B343" s="51" t="s">
        <v>484</v>
      </c>
      <c r="C343" s="51" t="s">
        <v>192</v>
      </c>
      <c r="D343" s="51" t="s">
        <v>308</v>
      </c>
      <c r="E343" s="51" t="s">
        <v>352</v>
      </c>
      <c r="F343" s="51" t="s">
        <v>341</v>
      </c>
      <c r="G343" s="52">
        <v>0.1994198694706309</v>
      </c>
      <c r="H343" s="52"/>
      <c r="I343" s="52">
        <v>0.1994198694706309</v>
      </c>
      <c r="J343" s="51" t="s">
        <v>342</v>
      </c>
    </row>
    <row r="344" ht="15.0" customHeight="1">
      <c r="A344" s="51">
        <v>62.0</v>
      </c>
      <c r="B344" s="51" t="s">
        <v>484</v>
      </c>
      <c r="C344" s="51" t="s">
        <v>192</v>
      </c>
      <c r="D344" s="51" t="s">
        <v>308</v>
      </c>
      <c r="E344" s="51" t="s">
        <v>353</v>
      </c>
      <c r="F344" s="51" t="s">
        <v>354</v>
      </c>
      <c r="G344" s="52">
        <v>8.510667150108775</v>
      </c>
      <c r="H344" s="52">
        <v>8.530667150108775</v>
      </c>
      <c r="I344" s="52">
        <v>8.520667150108775</v>
      </c>
      <c r="J344" s="51" t="s">
        <v>342</v>
      </c>
    </row>
    <row r="345" ht="15.0" customHeight="1">
      <c r="A345" s="51">
        <v>63.0</v>
      </c>
      <c r="B345" s="51" t="s">
        <v>485</v>
      </c>
      <c r="C345" s="51" t="s">
        <v>192</v>
      </c>
      <c r="D345" s="51" t="s">
        <v>308</v>
      </c>
      <c r="E345" s="51" t="s">
        <v>340</v>
      </c>
      <c r="F345" s="51" t="s">
        <v>341</v>
      </c>
      <c r="G345" s="52">
        <v>0.3621031746031746</v>
      </c>
      <c r="H345" s="52"/>
      <c r="I345" s="52">
        <v>0.3621031746031746</v>
      </c>
      <c r="J345" s="51" t="s">
        <v>342</v>
      </c>
    </row>
    <row r="346" ht="15.0" customHeight="1">
      <c r="A346" s="51">
        <v>63.0</v>
      </c>
      <c r="B346" s="51" t="s">
        <v>485</v>
      </c>
      <c r="C346" s="51" t="s">
        <v>192</v>
      </c>
      <c r="D346" s="51" t="s">
        <v>308</v>
      </c>
      <c r="E346" s="51" t="s">
        <v>343</v>
      </c>
      <c r="F346" s="51" t="s">
        <v>341</v>
      </c>
      <c r="G346" s="52">
        <v>1.2586206896551724</v>
      </c>
      <c r="H346" s="52"/>
      <c r="I346" s="52">
        <v>1.2586206896551724</v>
      </c>
      <c r="J346" s="51" t="s">
        <v>342</v>
      </c>
    </row>
    <row r="347" ht="15.0" customHeight="1">
      <c r="A347" s="51">
        <v>63.0</v>
      </c>
      <c r="B347" s="51" t="s">
        <v>485</v>
      </c>
      <c r="C347" s="51" t="s">
        <v>192</v>
      </c>
      <c r="D347" s="51" t="s">
        <v>308</v>
      </c>
      <c r="E347" s="51" t="s">
        <v>344</v>
      </c>
      <c r="F347" s="51" t="s">
        <v>345</v>
      </c>
      <c r="G347" s="52"/>
      <c r="H347" s="52">
        <v>7.0</v>
      </c>
      <c r="I347" s="52">
        <v>7.0</v>
      </c>
      <c r="J347" s="51" t="s">
        <v>342</v>
      </c>
    </row>
    <row r="348" ht="15.0" customHeight="1">
      <c r="A348" s="51">
        <v>63.0</v>
      </c>
      <c r="B348" s="51" t="s">
        <v>485</v>
      </c>
      <c r="C348" s="51" t="s">
        <v>192</v>
      </c>
      <c r="D348" s="51" t="s">
        <v>308</v>
      </c>
      <c r="E348" s="51" t="s">
        <v>347</v>
      </c>
      <c r="F348" s="51" t="s">
        <v>341</v>
      </c>
      <c r="G348" s="52">
        <v>30.0</v>
      </c>
      <c r="H348" s="52"/>
      <c r="I348" s="52">
        <v>30.0</v>
      </c>
      <c r="J348" s="51" t="s">
        <v>342</v>
      </c>
    </row>
    <row r="349" ht="15.0" customHeight="1">
      <c r="A349" s="51">
        <v>63.0</v>
      </c>
      <c r="B349" s="51" t="s">
        <v>485</v>
      </c>
      <c r="C349" s="51" t="s">
        <v>192</v>
      </c>
      <c r="D349" s="51" t="s">
        <v>308</v>
      </c>
      <c r="E349" s="51" t="s">
        <v>351</v>
      </c>
      <c r="F349" s="51" t="s">
        <v>341</v>
      </c>
      <c r="G349" s="52">
        <v>66.46825396825398</v>
      </c>
      <c r="H349" s="52"/>
      <c r="I349" s="52">
        <v>66.46825396825398</v>
      </c>
      <c r="J349" s="51" t="s">
        <v>342</v>
      </c>
    </row>
    <row r="350" ht="15.0" customHeight="1">
      <c r="A350" s="51">
        <v>63.0</v>
      </c>
      <c r="B350" s="51" t="s">
        <v>485</v>
      </c>
      <c r="C350" s="51" t="s">
        <v>192</v>
      </c>
      <c r="D350" s="51" t="s">
        <v>308</v>
      </c>
      <c r="E350" s="51" t="s">
        <v>352</v>
      </c>
      <c r="F350" s="51" t="s">
        <v>341</v>
      </c>
      <c r="G350" s="52">
        <v>0.2876984126984127</v>
      </c>
      <c r="H350" s="52"/>
      <c r="I350" s="52">
        <v>0.2876984126984127</v>
      </c>
      <c r="J350" s="51" t="s">
        <v>342</v>
      </c>
    </row>
    <row r="351" ht="15.0" customHeight="1">
      <c r="A351" s="51">
        <v>63.0</v>
      </c>
      <c r="B351" s="51" t="s">
        <v>485</v>
      </c>
      <c r="C351" s="51" t="s">
        <v>192</v>
      </c>
      <c r="D351" s="51" t="s">
        <v>308</v>
      </c>
      <c r="E351" s="51" t="s">
        <v>353</v>
      </c>
      <c r="F351" s="51" t="s">
        <v>354</v>
      </c>
      <c r="G351" s="52">
        <v>11.745952380952382</v>
      </c>
      <c r="H351" s="52">
        <v>11.765952380952381</v>
      </c>
      <c r="I351" s="52">
        <v>11.755952380952381</v>
      </c>
      <c r="J351" s="51" t="s">
        <v>342</v>
      </c>
    </row>
    <row r="352" ht="15.0" customHeight="1">
      <c r="A352" s="51">
        <v>64.0</v>
      </c>
      <c r="B352" s="51" t="s">
        <v>495</v>
      </c>
      <c r="C352" s="51" t="s">
        <v>192</v>
      </c>
      <c r="D352" s="51" t="s">
        <v>308</v>
      </c>
      <c r="E352" s="51" t="s">
        <v>340</v>
      </c>
      <c r="F352" s="51" t="s">
        <v>341</v>
      </c>
      <c r="G352" s="52">
        <v>0.3442028985507246</v>
      </c>
      <c r="H352" s="52"/>
      <c r="I352" s="52">
        <v>0.3442028985507246</v>
      </c>
      <c r="J352" s="51" t="s">
        <v>342</v>
      </c>
    </row>
    <row r="353" ht="15.0" customHeight="1">
      <c r="A353" s="51">
        <v>64.0</v>
      </c>
      <c r="B353" s="51" t="s">
        <v>495</v>
      </c>
      <c r="C353" s="51" t="s">
        <v>192</v>
      </c>
      <c r="D353" s="51" t="s">
        <v>308</v>
      </c>
      <c r="E353" s="51" t="s">
        <v>343</v>
      </c>
      <c r="F353" s="51" t="s">
        <v>341</v>
      </c>
      <c r="G353" s="52">
        <v>1.2666666666666666</v>
      </c>
      <c r="H353" s="52"/>
      <c r="I353" s="52">
        <v>1.2666666666666666</v>
      </c>
      <c r="J353" s="51" t="s">
        <v>342</v>
      </c>
    </row>
    <row r="354" ht="15.0" customHeight="1">
      <c r="A354" s="51">
        <v>64.0</v>
      </c>
      <c r="B354" s="51" t="s">
        <v>495</v>
      </c>
      <c r="C354" s="51" t="s">
        <v>192</v>
      </c>
      <c r="D354" s="51" t="s">
        <v>308</v>
      </c>
      <c r="E354" s="51" t="s">
        <v>344</v>
      </c>
      <c r="F354" s="51" t="s">
        <v>345</v>
      </c>
      <c r="G354" s="52"/>
      <c r="H354" s="52">
        <v>7.0</v>
      </c>
      <c r="I354" s="52">
        <v>7.0</v>
      </c>
      <c r="J354" s="51" t="s">
        <v>342</v>
      </c>
    </row>
    <row r="355" ht="15.0" customHeight="1">
      <c r="A355" s="51">
        <v>64.0</v>
      </c>
      <c r="B355" s="51" t="s">
        <v>495</v>
      </c>
      <c r="C355" s="51" t="s">
        <v>192</v>
      </c>
      <c r="D355" s="51" t="s">
        <v>308</v>
      </c>
      <c r="E355" s="51" t="s">
        <v>347</v>
      </c>
      <c r="F355" s="51" t="s">
        <v>341</v>
      </c>
      <c r="G355" s="52">
        <v>30.0</v>
      </c>
      <c r="H355" s="52"/>
      <c r="I355" s="52">
        <v>30.0</v>
      </c>
      <c r="J355" s="51" t="s">
        <v>342</v>
      </c>
    </row>
    <row r="356" ht="15.0" customHeight="1">
      <c r="A356" s="51">
        <v>64.0</v>
      </c>
      <c r="B356" s="51" t="s">
        <v>495</v>
      </c>
      <c r="C356" s="51" t="s">
        <v>192</v>
      </c>
      <c r="D356" s="51" t="s">
        <v>308</v>
      </c>
      <c r="E356" s="51" t="s">
        <v>351</v>
      </c>
      <c r="F356" s="51" t="s">
        <v>341</v>
      </c>
      <c r="G356" s="52">
        <v>66.42512077294687</v>
      </c>
      <c r="H356" s="52"/>
      <c r="I356" s="52">
        <v>66.42512077294687</v>
      </c>
      <c r="J356" s="51" t="s">
        <v>342</v>
      </c>
    </row>
    <row r="357" ht="15.0" customHeight="1">
      <c r="A357" s="51">
        <v>64.0</v>
      </c>
      <c r="B357" s="51" t="s">
        <v>495</v>
      </c>
      <c r="C357" s="51" t="s">
        <v>192</v>
      </c>
      <c r="D357" s="51" t="s">
        <v>308</v>
      </c>
      <c r="E357" s="51" t="s">
        <v>352</v>
      </c>
      <c r="F357" s="51" t="s">
        <v>341</v>
      </c>
      <c r="G357" s="52">
        <v>0.2717391304347826</v>
      </c>
      <c r="H357" s="52"/>
      <c r="I357" s="52">
        <v>0.2717391304347826</v>
      </c>
      <c r="J357" s="51" t="s">
        <v>342</v>
      </c>
    </row>
    <row r="358" ht="15.0" customHeight="1">
      <c r="A358" s="51">
        <v>64.0</v>
      </c>
      <c r="B358" s="51" t="s">
        <v>495</v>
      </c>
      <c r="C358" s="51" t="s">
        <v>192</v>
      </c>
      <c r="D358" s="51" t="s">
        <v>308</v>
      </c>
      <c r="E358" s="51" t="s">
        <v>353</v>
      </c>
      <c r="F358" s="51" t="s">
        <v>354</v>
      </c>
      <c r="G358" s="52">
        <v>11.463429951690822</v>
      </c>
      <c r="H358" s="52">
        <v>11.483429951690821</v>
      </c>
      <c r="I358" s="52">
        <v>11.473429951690822</v>
      </c>
      <c r="J358" s="51" t="s">
        <v>342</v>
      </c>
    </row>
    <row r="359" ht="15.0" customHeight="1">
      <c r="A359" s="51">
        <v>65.0</v>
      </c>
      <c r="B359" s="51" t="s">
        <v>506</v>
      </c>
      <c r="C359" s="51" t="s">
        <v>192</v>
      </c>
      <c r="D359" s="51" t="s">
        <v>308</v>
      </c>
      <c r="E359" s="51" t="s">
        <v>340</v>
      </c>
      <c r="F359" s="51" t="s">
        <v>341</v>
      </c>
      <c r="G359" s="52">
        <v>0.37402597402597404</v>
      </c>
      <c r="H359" s="52"/>
      <c r="I359" s="52">
        <v>0.37402597402597404</v>
      </c>
      <c r="J359" s="51" t="s">
        <v>342</v>
      </c>
    </row>
    <row r="360" ht="15.0" customHeight="1">
      <c r="A360" s="51">
        <v>65.0</v>
      </c>
      <c r="B360" s="51" t="s">
        <v>506</v>
      </c>
      <c r="C360" s="51" t="s">
        <v>192</v>
      </c>
      <c r="D360" s="51" t="s">
        <v>308</v>
      </c>
      <c r="E360" s="51" t="s">
        <v>343</v>
      </c>
      <c r="F360" s="51" t="s">
        <v>341</v>
      </c>
      <c r="G360" s="52">
        <v>1.2631578947368423</v>
      </c>
      <c r="H360" s="52"/>
      <c r="I360" s="52">
        <v>1.2631578947368423</v>
      </c>
      <c r="J360" s="51" t="s">
        <v>342</v>
      </c>
    </row>
    <row r="361" ht="15.0" customHeight="1">
      <c r="A361" s="51">
        <v>65.0</v>
      </c>
      <c r="B361" s="51" t="s">
        <v>506</v>
      </c>
      <c r="C361" s="51" t="s">
        <v>192</v>
      </c>
      <c r="D361" s="51" t="s">
        <v>308</v>
      </c>
      <c r="E361" s="51" t="s">
        <v>344</v>
      </c>
      <c r="F361" s="51" t="s">
        <v>345</v>
      </c>
      <c r="G361" s="52"/>
      <c r="H361" s="52">
        <v>7.0</v>
      </c>
      <c r="I361" s="52">
        <v>7.0</v>
      </c>
      <c r="J361" s="51" t="s">
        <v>342</v>
      </c>
    </row>
    <row r="362" ht="15.0" customHeight="1">
      <c r="A362" s="51">
        <v>65.0</v>
      </c>
      <c r="B362" s="51" t="s">
        <v>506</v>
      </c>
      <c r="C362" s="51" t="s">
        <v>192</v>
      </c>
      <c r="D362" s="51" t="s">
        <v>308</v>
      </c>
      <c r="E362" s="51" t="s">
        <v>347</v>
      </c>
      <c r="F362" s="51" t="s">
        <v>341</v>
      </c>
      <c r="G362" s="52">
        <v>30.0</v>
      </c>
      <c r="H362" s="52"/>
      <c r="I362" s="52">
        <v>30.0</v>
      </c>
      <c r="J362" s="51" t="s">
        <v>342</v>
      </c>
    </row>
    <row r="363" ht="15.0" customHeight="1">
      <c r="A363" s="51">
        <v>65.0</v>
      </c>
      <c r="B363" s="51" t="s">
        <v>506</v>
      </c>
      <c r="C363" s="51" t="s">
        <v>192</v>
      </c>
      <c r="D363" s="51" t="s">
        <v>308</v>
      </c>
      <c r="E363" s="51" t="s">
        <v>351</v>
      </c>
      <c r="F363" s="51" t="s">
        <v>341</v>
      </c>
      <c r="G363" s="52">
        <v>66.49350649350649</v>
      </c>
      <c r="H363" s="52"/>
      <c r="I363" s="52">
        <v>66.49350649350649</v>
      </c>
      <c r="J363" s="51" t="s">
        <v>342</v>
      </c>
    </row>
    <row r="364" ht="15.0" customHeight="1">
      <c r="A364" s="51">
        <v>65.0</v>
      </c>
      <c r="B364" s="51" t="s">
        <v>506</v>
      </c>
      <c r="C364" s="51" t="s">
        <v>192</v>
      </c>
      <c r="D364" s="51" t="s">
        <v>308</v>
      </c>
      <c r="E364" s="51" t="s">
        <v>352</v>
      </c>
      <c r="F364" s="51" t="s">
        <v>341</v>
      </c>
      <c r="G364" s="52">
        <v>0.2961038961038961</v>
      </c>
      <c r="H364" s="52"/>
      <c r="I364" s="52">
        <v>0.2961038961038961</v>
      </c>
      <c r="J364" s="51" t="s">
        <v>342</v>
      </c>
    </row>
    <row r="365" ht="15.0" customHeight="1">
      <c r="A365" s="51">
        <v>65.0</v>
      </c>
      <c r="B365" s="51" t="s">
        <v>506</v>
      </c>
      <c r="C365" s="51" t="s">
        <v>192</v>
      </c>
      <c r="D365" s="51" t="s">
        <v>308</v>
      </c>
      <c r="E365" s="51" t="s">
        <v>353</v>
      </c>
      <c r="F365" s="51" t="s">
        <v>354</v>
      </c>
      <c r="G365" s="52">
        <v>11.938051948051948</v>
      </c>
      <c r="H365" s="52">
        <v>11.958051948051947</v>
      </c>
      <c r="I365" s="52">
        <v>11.948051948051948</v>
      </c>
      <c r="J365" s="51" t="s">
        <v>342</v>
      </c>
    </row>
    <row r="366" ht="15.0" customHeight="1">
      <c r="A366" s="51">
        <v>66.0</v>
      </c>
      <c r="B366" s="51" t="s">
        <v>510</v>
      </c>
      <c r="C366" s="51" t="s">
        <v>192</v>
      </c>
      <c r="D366" s="51" t="s">
        <v>308</v>
      </c>
      <c r="E366" s="51" t="s">
        <v>340</v>
      </c>
      <c r="F366" s="51" t="s">
        <v>341</v>
      </c>
      <c r="G366" s="52">
        <v>0.3578274760383386</v>
      </c>
      <c r="H366" s="52"/>
      <c r="I366" s="52">
        <v>0.3578274760383386</v>
      </c>
      <c r="J366" s="51" t="s">
        <v>342</v>
      </c>
    </row>
    <row r="367" ht="15.0" customHeight="1">
      <c r="A367" s="51">
        <v>66.0</v>
      </c>
      <c r="B367" s="51" t="s">
        <v>510</v>
      </c>
      <c r="C367" s="51" t="s">
        <v>192</v>
      </c>
      <c r="D367" s="51" t="s">
        <v>308</v>
      </c>
      <c r="E367" s="51" t="s">
        <v>343</v>
      </c>
      <c r="F367" s="51" t="s">
        <v>341</v>
      </c>
      <c r="G367" s="52">
        <v>1.2727272727272725</v>
      </c>
      <c r="H367" s="52"/>
      <c r="I367" s="52">
        <v>1.2727272727272725</v>
      </c>
      <c r="J367" s="51" t="s">
        <v>342</v>
      </c>
    </row>
    <row r="368" ht="15.0" customHeight="1">
      <c r="A368" s="51">
        <v>66.0</v>
      </c>
      <c r="B368" s="51" t="s">
        <v>510</v>
      </c>
      <c r="C368" s="51" t="s">
        <v>192</v>
      </c>
      <c r="D368" s="51" t="s">
        <v>308</v>
      </c>
      <c r="E368" s="51" t="s">
        <v>344</v>
      </c>
      <c r="F368" s="51" t="s">
        <v>345</v>
      </c>
      <c r="G368" s="52"/>
      <c r="H368" s="52">
        <v>7.0</v>
      </c>
      <c r="I368" s="52">
        <v>7.0</v>
      </c>
      <c r="J368" s="51" t="s">
        <v>342</v>
      </c>
    </row>
    <row r="369" ht="15.0" customHeight="1">
      <c r="A369" s="51">
        <v>66.0</v>
      </c>
      <c r="B369" s="51" t="s">
        <v>510</v>
      </c>
      <c r="C369" s="51" t="s">
        <v>192</v>
      </c>
      <c r="D369" s="51" t="s">
        <v>308</v>
      </c>
      <c r="E369" s="51" t="s">
        <v>347</v>
      </c>
      <c r="F369" s="51" t="s">
        <v>341</v>
      </c>
      <c r="G369" s="52">
        <v>30.0</v>
      </c>
      <c r="H369" s="52"/>
      <c r="I369" s="52">
        <v>30.0</v>
      </c>
      <c r="J369" s="51" t="s">
        <v>342</v>
      </c>
    </row>
    <row r="370" ht="15.0" customHeight="1">
      <c r="A370" s="51">
        <v>66.0</v>
      </c>
      <c r="B370" s="51" t="s">
        <v>510</v>
      </c>
      <c r="C370" s="51" t="s">
        <v>192</v>
      </c>
      <c r="D370" s="51" t="s">
        <v>308</v>
      </c>
      <c r="E370" s="51" t="s">
        <v>351</v>
      </c>
      <c r="F370" s="51" t="s">
        <v>341</v>
      </c>
      <c r="G370" s="52">
        <v>66.45367412140575</v>
      </c>
      <c r="H370" s="52"/>
      <c r="I370" s="52">
        <v>66.45367412140575</v>
      </c>
      <c r="J370" s="51" t="s">
        <v>342</v>
      </c>
    </row>
    <row r="371" ht="15.0" customHeight="1">
      <c r="A371" s="51">
        <v>66.0</v>
      </c>
      <c r="B371" s="51" t="s">
        <v>510</v>
      </c>
      <c r="C371" s="51" t="s">
        <v>192</v>
      </c>
      <c r="D371" s="51" t="s">
        <v>308</v>
      </c>
      <c r="E371" s="51" t="s">
        <v>352</v>
      </c>
      <c r="F371" s="51" t="s">
        <v>341</v>
      </c>
      <c r="G371" s="52">
        <v>0.28115015974440893</v>
      </c>
      <c r="H371" s="52"/>
      <c r="I371" s="52">
        <v>0.28115015974440893</v>
      </c>
      <c r="J371" s="51" t="s">
        <v>342</v>
      </c>
    </row>
    <row r="372" ht="15.0" customHeight="1">
      <c r="A372" s="51">
        <v>66.0</v>
      </c>
      <c r="B372" s="51" t="s">
        <v>510</v>
      </c>
      <c r="C372" s="51" t="s">
        <v>192</v>
      </c>
      <c r="D372" s="51" t="s">
        <v>308</v>
      </c>
      <c r="E372" s="51" t="s">
        <v>353</v>
      </c>
      <c r="F372" s="51" t="s">
        <v>354</v>
      </c>
      <c r="G372" s="52">
        <v>11.683290734824281</v>
      </c>
      <c r="H372" s="52">
        <v>11.70329073482428</v>
      </c>
      <c r="I372" s="52">
        <v>11.69329073482428</v>
      </c>
      <c r="J372" s="51" t="s">
        <v>342</v>
      </c>
    </row>
    <row r="373" ht="15.0" customHeight="1">
      <c r="A373" s="51">
        <v>67.0</v>
      </c>
      <c r="B373" s="51" t="s">
        <v>514</v>
      </c>
      <c r="C373" s="51" t="s">
        <v>192</v>
      </c>
      <c r="D373" s="51" t="s">
        <v>308</v>
      </c>
      <c r="E373" s="51" t="s">
        <v>340</v>
      </c>
      <c r="F373" s="51" t="s">
        <v>341</v>
      </c>
      <c r="G373" s="52">
        <v>0.3746397694524495</v>
      </c>
      <c r="H373" s="52"/>
      <c r="I373" s="52">
        <v>0.3746397694524495</v>
      </c>
      <c r="J373" s="51" t="s">
        <v>342</v>
      </c>
    </row>
    <row r="374" ht="15.0" customHeight="1">
      <c r="A374" s="51">
        <v>67.0</v>
      </c>
      <c r="B374" s="51" t="s">
        <v>514</v>
      </c>
      <c r="C374" s="51" t="s">
        <v>192</v>
      </c>
      <c r="D374" s="51" t="s">
        <v>308</v>
      </c>
      <c r="E374" s="51" t="s">
        <v>343</v>
      </c>
      <c r="F374" s="51" t="s">
        <v>341</v>
      </c>
      <c r="G374" s="52">
        <v>1.3220338983050846</v>
      </c>
      <c r="H374" s="52"/>
      <c r="I374" s="52">
        <v>1.3220338983050846</v>
      </c>
      <c r="J374" s="51" t="s">
        <v>342</v>
      </c>
    </row>
    <row r="375" ht="15.0" customHeight="1">
      <c r="A375" s="51">
        <v>67.0</v>
      </c>
      <c r="B375" s="51" t="s">
        <v>514</v>
      </c>
      <c r="C375" s="51" t="s">
        <v>192</v>
      </c>
      <c r="D375" s="51" t="s">
        <v>308</v>
      </c>
      <c r="E375" s="51" t="s">
        <v>344</v>
      </c>
      <c r="F375" s="51" t="s">
        <v>345</v>
      </c>
      <c r="G375" s="52"/>
      <c r="H375" s="52">
        <v>7.0</v>
      </c>
      <c r="I375" s="52">
        <v>7.0</v>
      </c>
      <c r="J375" s="51" t="s">
        <v>342</v>
      </c>
    </row>
    <row r="376" ht="15.0" customHeight="1">
      <c r="A376" s="51">
        <v>67.0</v>
      </c>
      <c r="B376" s="51" t="s">
        <v>514</v>
      </c>
      <c r="C376" s="51" t="s">
        <v>192</v>
      </c>
      <c r="D376" s="51" t="s">
        <v>308</v>
      </c>
      <c r="E376" s="51" t="s">
        <v>347</v>
      </c>
      <c r="F376" s="51" t="s">
        <v>341</v>
      </c>
      <c r="G376" s="52">
        <v>30.0</v>
      </c>
      <c r="H376" s="52"/>
      <c r="I376" s="52">
        <v>30.0</v>
      </c>
      <c r="J376" s="51" t="s">
        <v>342</v>
      </c>
    </row>
    <row r="377" ht="15.0" customHeight="1">
      <c r="A377" s="51">
        <v>67.0</v>
      </c>
      <c r="B377" s="51" t="s">
        <v>514</v>
      </c>
      <c r="C377" s="51" t="s">
        <v>192</v>
      </c>
      <c r="D377" s="51" t="s">
        <v>308</v>
      </c>
      <c r="E377" s="51" t="s">
        <v>351</v>
      </c>
      <c r="F377" s="51" t="s">
        <v>341</v>
      </c>
      <c r="G377" s="52">
        <v>52.833813640730064</v>
      </c>
      <c r="H377" s="52"/>
      <c r="I377" s="52">
        <v>52.833813640730064</v>
      </c>
      <c r="J377" s="51" t="s">
        <v>342</v>
      </c>
    </row>
    <row r="378" ht="15.0" customHeight="1">
      <c r="A378" s="51">
        <v>67.0</v>
      </c>
      <c r="B378" s="51" t="s">
        <v>514</v>
      </c>
      <c r="C378" s="51" t="s">
        <v>192</v>
      </c>
      <c r="D378" s="51" t="s">
        <v>308</v>
      </c>
      <c r="E378" s="51" t="s">
        <v>352</v>
      </c>
      <c r="F378" s="51" t="s">
        <v>341</v>
      </c>
      <c r="G378" s="52">
        <v>0.2833813640730067</v>
      </c>
      <c r="H378" s="52"/>
      <c r="I378" s="52">
        <v>0.2833813640730067</v>
      </c>
      <c r="J378" s="51" t="s">
        <v>342</v>
      </c>
    </row>
    <row r="379" ht="15.0" customHeight="1">
      <c r="A379" s="51">
        <v>67.0</v>
      </c>
      <c r="B379" s="51" t="s">
        <v>514</v>
      </c>
      <c r="C379" s="51" t="s">
        <v>192</v>
      </c>
      <c r="D379" s="51" t="s">
        <v>308</v>
      </c>
      <c r="E379" s="51" t="s">
        <v>353</v>
      </c>
      <c r="F379" s="51" t="s">
        <v>354</v>
      </c>
      <c r="G379" s="52">
        <v>12.189807877041304</v>
      </c>
      <c r="H379" s="52">
        <v>12.209807877041303</v>
      </c>
      <c r="I379" s="52">
        <v>12.199807877041303</v>
      </c>
      <c r="J379" s="51" t="s">
        <v>342</v>
      </c>
    </row>
    <row r="380" ht="15.0" customHeight="1">
      <c r="A380" s="51">
        <v>68.0</v>
      </c>
      <c r="B380" s="51" t="s">
        <v>517</v>
      </c>
      <c r="C380" s="51" t="s">
        <v>192</v>
      </c>
      <c r="D380" s="51" t="s">
        <v>308</v>
      </c>
      <c r="E380" s="51" t="s">
        <v>340</v>
      </c>
      <c r="F380" s="51" t="s">
        <v>341</v>
      </c>
      <c r="G380" s="52">
        <v>0.6013745704467353</v>
      </c>
      <c r="H380" s="52"/>
      <c r="I380" s="52">
        <v>0.6013745704467353</v>
      </c>
      <c r="J380" s="51" t="s">
        <v>342</v>
      </c>
    </row>
    <row r="381" ht="15.0" customHeight="1">
      <c r="A381" s="51">
        <v>68.0</v>
      </c>
      <c r="B381" s="51" t="s">
        <v>517</v>
      </c>
      <c r="C381" s="51" t="s">
        <v>192</v>
      </c>
      <c r="D381" s="51" t="s">
        <v>308</v>
      </c>
      <c r="E381" s="51" t="s">
        <v>343</v>
      </c>
      <c r="F381" s="51" t="s">
        <v>341</v>
      </c>
      <c r="G381" s="52">
        <v>1.372549019607843</v>
      </c>
      <c r="H381" s="52"/>
      <c r="I381" s="52">
        <v>1.372549019607843</v>
      </c>
      <c r="J381" s="51" t="s">
        <v>342</v>
      </c>
    </row>
    <row r="382" ht="15.0" customHeight="1">
      <c r="A382" s="51">
        <v>68.0</v>
      </c>
      <c r="B382" s="51" t="s">
        <v>517</v>
      </c>
      <c r="C382" s="51" t="s">
        <v>192</v>
      </c>
      <c r="D382" s="51" t="s">
        <v>308</v>
      </c>
      <c r="E382" s="51" t="s">
        <v>344</v>
      </c>
      <c r="F382" s="51" t="s">
        <v>345</v>
      </c>
      <c r="G382" s="52"/>
      <c r="H382" s="52">
        <v>7.0</v>
      </c>
      <c r="I382" s="52">
        <v>7.0</v>
      </c>
      <c r="J382" s="51" t="s">
        <v>342</v>
      </c>
    </row>
    <row r="383" ht="15.0" customHeight="1">
      <c r="A383" s="51">
        <v>68.0</v>
      </c>
      <c r="B383" s="51" t="s">
        <v>517</v>
      </c>
      <c r="C383" s="51" t="s">
        <v>192</v>
      </c>
      <c r="D383" s="51" t="s">
        <v>308</v>
      </c>
      <c r="E383" s="51" t="s">
        <v>347</v>
      </c>
      <c r="F383" s="51" t="s">
        <v>341</v>
      </c>
      <c r="G383" s="52">
        <v>30.0</v>
      </c>
      <c r="H383" s="52"/>
      <c r="I383" s="52">
        <v>30.0</v>
      </c>
      <c r="J383" s="51" t="s">
        <v>342</v>
      </c>
    </row>
    <row r="384" ht="15.0" customHeight="1">
      <c r="A384" s="51">
        <v>68.0</v>
      </c>
      <c r="B384" s="51" t="s">
        <v>517</v>
      </c>
      <c r="C384" s="51" t="s">
        <v>192</v>
      </c>
      <c r="D384" s="51" t="s">
        <v>308</v>
      </c>
      <c r="E384" s="51" t="s">
        <v>351</v>
      </c>
      <c r="F384" s="51" t="s">
        <v>341</v>
      </c>
      <c r="G384" s="52">
        <v>60.137457044673525</v>
      </c>
      <c r="H384" s="52"/>
      <c r="I384" s="52">
        <v>60.137457044673525</v>
      </c>
      <c r="J384" s="51" t="s">
        <v>342</v>
      </c>
    </row>
    <row r="385" ht="15.0" customHeight="1">
      <c r="A385" s="51">
        <v>68.0</v>
      </c>
      <c r="B385" s="51" t="s">
        <v>517</v>
      </c>
      <c r="C385" s="51" t="s">
        <v>192</v>
      </c>
      <c r="D385" s="51" t="s">
        <v>308</v>
      </c>
      <c r="E385" s="51" t="s">
        <v>352</v>
      </c>
      <c r="F385" s="51" t="s">
        <v>341</v>
      </c>
      <c r="G385" s="52">
        <v>0.43814432989690716</v>
      </c>
      <c r="H385" s="52"/>
      <c r="I385" s="52">
        <v>0.43814432989690716</v>
      </c>
      <c r="J385" s="51" t="s">
        <v>342</v>
      </c>
    </row>
    <row r="386" ht="15.0" customHeight="1">
      <c r="A386" s="51">
        <v>68.0</v>
      </c>
      <c r="B386" s="51" t="s">
        <v>517</v>
      </c>
      <c r="C386" s="51" t="s">
        <v>192</v>
      </c>
      <c r="D386" s="51" t="s">
        <v>308</v>
      </c>
      <c r="E386" s="51" t="s">
        <v>353</v>
      </c>
      <c r="F386" s="51" t="s">
        <v>354</v>
      </c>
      <c r="G386" s="52">
        <v>18.288969072164942</v>
      </c>
      <c r="H386" s="52">
        <v>18.308969072164945</v>
      </c>
      <c r="I386" s="52">
        <v>18.298969072164944</v>
      </c>
      <c r="J386" s="51" t="s">
        <v>342</v>
      </c>
    </row>
    <row r="387" ht="15.0" customHeight="1">
      <c r="A387" s="51">
        <v>69.0</v>
      </c>
      <c r="B387" s="51" t="s">
        <v>521</v>
      </c>
      <c r="C387" s="51" t="s">
        <v>192</v>
      </c>
      <c r="D387" s="51" t="s">
        <v>308</v>
      </c>
      <c r="E387" s="51" t="s">
        <v>340</v>
      </c>
      <c r="F387" s="51" t="s">
        <v>341</v>
      </c>
      <c r="G387" s="52">
        <v>0.6029579067121729</v>
      </c>
      <c r="H387" s="52"/>
      <c r="I387" s="52">
        <v>0.6029579067121729</v>
      </c>
      <c r="J387" s="51" t="s">
        <v>342</v>
      </c>
    </row>
    <row r="388" ht="15.0" customHeight="1">
      <c r="A388" s="51">
        <v>69.0</v>
      </c>
      <c r="B388" s="51" t="s">
        <v>521</v>
      </c>
      <c r="C388" s="51" t="s">
        <v>192</v>
      </c>
      <c r="D388" s="51" t="s">
        <v>308</v>
      </c>
      <c r="E388" s="51" t="s">
        <v>343</v>
      </c>
      <c r="F388" s="51" t="s">
        <v>341</v>
      </c>
      <c r="G388" s="52">
        <v>1.3947368421052633</v>
      </c>
      <c r="H388" s="52"/>
      <c r="I388" s="52">
        <v>1.3947368421052633</v>
      </c>
      <c r="J388" s="51" t="s">
        <v>342</v>
      </c>
    </row>
    <row r="389" ht="15.0" customHeight="1">
      <c r="A389" s="51">
        <v>69.0</v>
      </c>
      <c r="B389" s="51" t="s">
        <v>521</v>
      </c>
      <c r="C389" s="51" t="s">
        <v>192</v>
      </c>
      <c r="D389" s="51" t="s">
        <v>308</v>
      </c>
      <c r="E389" s="51" t="s">
        <v>344</v>
      </c>
      <c r="F389" s="51" t="s">
        <v>345</v>
      </c>
      <c r="G389" s="52"/>
      <c r="H389" s="52">
        <v>7.0</v>
      </c>
      <c r="I389" s="52">
        <v>7.0</v>
      </c>
      <c r="J389" s="51" t="s">
        <v>342</v>
      </c>
    </row>
    <row r="390" ht="15.0" customHeight="1">
      <c r="A390" s="51">
        <v>69.0</v>
      </c>
      <c r="B390" s="51" t="s">
        <v>521</v>
      </c>
      <c r="C390" s="51" t="s">
        <v>192</v>
      </c>
      <c r="D390" s="51" t="s">
        <v>308</v>
      </c>
      <c r="E390" s="51" t="s">
        <v>347</v>
      </c>
      <c r="F390" s="51" t="s">
        <v>341</v>
      </c>
      <c r="G390" s="52">
        <v>30.0</v>
      </c>
      <c r="H390" s="52"/>
      <c r="I390" s="52">
        <v>30.0</v>
      </c>
      <c r="J390" s="51" t="s">
        <v>342</v>
      </c>
    </row>
    <row r="391" ht="15.0" customHeight="1">
      <c r="A391" s="51">
        <v>69.0</v>
      </c>
      <c r="B391" s="51" t="s">
        <v>521</v>
      </c>
      <c r="C391" s="51" t="s">
        <v>192</v>
      </c>
      <c r="D391" s="51" t="s">
        <v>308</v>
      </c>
      <c r="E391" s="51" t="s">
        <v>351</v>
      </c>
      <c r="F391" s="51" t="s">
        <v>341</v>
      </c>
      <c r="G391" s="52">
        <v>65.98407281001137</v>
      </c>
      <c r="H391" s="52"/>
      <c r="I391" s="52">
        <v>65.98407281001137</v>
      </c>
      <c r="J391" s="51" t="s">
        <v>342</v>
      </c>
    </row>
    <row r="392" ht="15.0" customHeight="1">
      <c r="A392" s="51">
        <v>69.0</v>
      </c>
      <c r="B392" s="51" t="s">
        <v>521</v>
      </c>
      <c r="C392" s="51" t="s">
        <v>192</v>
      </c>
      <c r="D392" s="51" t="s">
        <v>308</v>
      </c>
      <c r="E392" s="51" t="s">
        <v>352</v>
      </c>
      <c r="F392" s="51" t="s">
        <v>341</v>
      </c>
      <c r="G392" s="52">
        <v>0.4323094425483503</v>
      </c>
      <c r="H392" s="52"/>
      <c r="I392" s="52">
        <v>0.4323094425483503</v>
      </c>
      <c r="J392" s="51" t="s">
        <v>342</v>
      </c>
    </row>
    <row r="393" ht="15.0" customHeight="1">
      <c r="A393" s="51">
        <v>69.0</v>
      </c>
      <c r="B393" s="51" t="s">
        <v>521</v>
      </c>
      <c r="C393" s="51" t="s">
        <v>192</v>
      </c>
      <c r="D393" s="51" t="s">
        <v>308</v>
      </c>
      <c r="E393" s="51" t="s">
        <v>353</v>
      </c>
      <c r="F393" s="51" t="s">
        <v>354</v>
      </c>
      <c r="G393" s="52">
        <v>18.420034129692826</v>
      </c>
      <c r="H393" s="52">
        <v>18.44003412969283</v>
      </c>
      <c r="I393" s="52">
        <v>18.430034129692828</v>
      </c>
      <c r="J393" s="51" t="s">
        <v>342</v>
      </c>
    </row>
    <row r="394" ht="15.0" customHeight="1">
      <c r="A394" s="51">
        <v>70.0</v>
      </c>
      <c r="B394" s="51" t="s">
        <v>524</v>
      </c>
      <c r="C394" s="51" t="s">
        <v>192</v>
      </c>
      <c r="D394" s="51" t="s">
        <v>308</v>
      </c>
      <c r="E394" s="51" t="s">
        <v>340</v>
      </c>
      <c r="F394" s="51" t="s">
        <v>341</v>
      </c>
      <c r="G394" s="52">
        <v>0.8388157894736842</v>
      </c>
      <c r="H394" s="52"/>
      <c r="I394" s="52">
        <v>0.8388157894736842</v>
      </c>
      <c r="J394" s="51" t="s">
        <v>342</v>
      </c>
    </row>
    <row r="395" ht="15.0" customHeight="1">
      <c r="A395" s="51">
        <v>70.0</v>
      </c>
      <c r="B395" s="51" t="s">
        <v>524</v>
      </c>
      <c r="C395" s="51" t="s">
        <v>192</v>
      </c>
      <c r="D395" s="51" t="s">
        <v>308</v>
      </c>
      <c r="E395" s="51" t="s">
        <v>343</v>
      </c>
      <c r="F395" s="51" t="s">
        <v>341</v>
      </c>
      <c r="G395" s="52">
        <v>1.4571428571428573</v>
      </c>
      <c r="H395" s="52"/>
      <c r="I395" s="52">
        <v>1.4571428571428573</v>
      </c>
      <c r="J395" s="51" t="s">
        <v>342</v>
      </c>
    </row>
    <row r="396" ht="15.0" customHeight="1">
      <c r="A396" s="51">
        <v>70.0</v>
      </c>
      <c r="B396" s="51" t="s">
        <v>524</v>
      </c>
      <c r="C396" s="51" t="s">
        <v>192</v>
      </c>
      <c r="D396" s="51" t="s">
        <v>308</v>
      </c>
      <c r="E396" s="51" t="s">
        <v>344</v>
      </c>
      <c r="F396" s="51" t="s">
        <v>345</v>
      </c>
      <c r="G396" s="52"/>
      <c r="H396" s="52">
        <v>7.0</v>
      </c>
      <c r="I396" s="52">
        <v>7.0</v>
      </c>
      <c r="J396" s="51" t="s">
        <v>342</v>
      </c>
    </row>
    <row r="397" ht="15.0" customHeight="1">
      <c r="A397" s="51">
        <v>70.0</v>
      </c>
      <c r="B397" s="51" t="s">
        <v>524</v>
      </c>
      <c r="C397" s="51" t="s">
        <v>192</v>
      </c>
      <c r="D397" s="51" t="s">
        <v>308</v>
      </c>
      <c r="E397" s="51" t="s">
        <v>347</v>
      </c>
      <c r="F397" s="51" t="s">
        <v>341</v>
      </c>
      <c r="G397" s="52">
        <v>30.0</v>
      </c>
      <c r="H397" s="52"/>
      <c r="I397" s="52">
        <v>30.0</v>
      </c>
      <c r="J397" s="51" t="s">
        <v>342</v>
      </c>
    </row>
    <row r="398" ht="15.0" customHeight="1">
      <c r="A398" s="51">
        <v>70.0</v>
      </c>
      <c r="B398" s="51" t="s">
        <v>524</v>
      </c>
      <c r="C398" s="51" t="s">
        <v>192</v>
      </c>
      <c r="D398" s="51" t="s">
        <v>308</v>
      </c>
      <c r="E398" s="51" t="s">
        <v>351</v>
      </c>
      <c r="F398" s="51" t="s">
        <v>341</v>
      </c>
      <c r="G398" s="52">
        <v>78.94736842105263</v>
      </c>
      <c r="H398" s="52"/>
      <c r="I398" s="52">
        <v>78.94736842105263</v>
      </c>
      <c r="J398" s="51" t="s">
        <v>342</v>
      </c>
    </row>
    <row r="399" ht="15.0" customHeight="1">
      <c r="A399" s="51">
        <v>70.0</v>
      </c>
      <c r="B399" s="51" t="s">
        <v>524</v>
      </c>
      <c r="C399" s="51" t="s">
        <v>192</v>
      </c>
      <c r="D399" s="51" t="s">
        <v>308</v>
      </c>
      <c r="E399" s="51" t="s">
        <v>352</v>
      </c>
      <c r="F399" s="51" t="s">
        <v>341</v>
      </c>
      <c r="G399" s="52">
        <v>0.575657894736842</v>
      </c>
      <c r="H399" s="52"/>
      <c r="I399" s="52">
        <v>0.575657894736842</v>
      </c>
      <c r="J399" s="51" t="s">
        <v>342</v>
      </c>
    </row>
    <row r="400" ht="15.0" customHeight="1">
      <c r="A400" s="51">
        <v>70.0</v>
      </c>
      <c r="B400" s="51" t="s">
        <v>524</v>
      </c>
      <c r="C400" s="51" t="s">
        <v>192</v>
      </c>
      <c r="D400" s="51" t="s">
        <v>308</v>
      </c>
      <c r="E400" s="51" t="s">
        <v>353</v>
      </c>
      <c r="F400" s="51" t="s">
        <v>354</v>
      </c>
      <c r="G400" s="52">
        <v>24.332105263157892</v>
      </c>
      <c r="H400" s="52">
        <v>24.352105263157895</v>
      </c>
      <c r="I400" s="52">
        <v>24.342105263157894</v>
      </c>
      <c r="J400" s="51" t="s">
        <v>342</v>
      </c>
    </row>
    <row r="401" ht="15.0" customHeight="1">
      <c r="A401" s="51">
        <v>71.0</v>
      </c>
      <c r="B401" s="51" t="s">
        <v>527</v>
      </c>
      <c r="C401" s="51" t="s">
        <v>192</v>
      </c>
      <c r="D401" s="51" t="s">
        <v>308</v>
      </c>
      <c r="E401" s="51" t="s">
        <v>340</v>
      </c>
      <c r="F401" s="51" t="s">
        <v>341</v>
      </c>
      <c r="G401" s="52">
        <v>0.6228956228956228</v>
      </c>
      <c r="H401" s="52"/>
      <c r="I401" s="52">
        <v>0.6228956228956228</v>
      </c>
      <c r="J401" s="51" t="s">
        <v>342</v>
      </c>
    </row>
    <row r="402" ht="15.0" customHeight="1">
      <c r="A402" s="51">
        <v>71.0</v>
      </c>
      <c r="B402" s="51" t="s">
        <v>527</v>
      </c>
      <c r="C402" s="51" t="s">
        <v>192</v>
      </c>
      <c r="D402" s="51" t="s">
        <v>308</v>
      </c>
      <c r="E402" s="51" t="s">
        <v>343</v>
      </c>
      <c r="F402" s="51" t="s">
        <v>341</v>
      </c>
      <c r="G402" s="52">
        <v>1.48</v>
      </c>
      <c r="H402" s="52"/>
      <c r="I402" s="52">
        <v>1.48</v>
      </c>
      <c r="J402" s="51" t="s">
        <v>342</v>
      </c>
    </row>
    <row r="403" ht="15.0" customHeight="1">
      <c r="A403" s="51">
        <v>71.0</v>
      </c>
      <c r="B403" s="51" t="s">
        <v>527</v>
      </c>
      <c r="C403" s="51" t="s">
        <v>192</v>
      </c>
      <c r="D403" s="51" t="s">
        <v>308</v>
      </c>
      <c r="E403" s="51" t="s">
        <v>344</v>
      </c>
      <c r="F403" s="51" t="s">
        <v>345</v>
      </c>
      <c r="G403" s="52"/>
      <c r="H403" s="52">
        <v>7.0</v>
      </c>
      <c r="I403" s="52">
        <v>7.0</v>
      </c>
      <c r="J403" s="51" t="s">
        <v>342</v>
      </c>
    </row>
    <row r="404" ht="15.0" customHeight="1">
      <c r="A404" s="51">
        <v>71.0</v>
      </c>
      <c r="B404" s="51" t="s">
        <v>527</v>
      </c>
      <c r="C404" s="51" t="s">
        <v>192</v>
      </c>
      <c r="D404" s="51" t="s">
        <v>308</v>
      </c>
      <c r="E404" s="51" t="s">
        <v>347</v>
      </c>
      <c r="F404" s="51" t="s">
        <v>341</v>
      </c>
      <c r="G404" s="52">
        <v>30.0</v>
      </c>
      <c r="H404" s="52"/>
      <c r="I404" s="52">
        <v>30.0</v>
      </c>
      <c r="J404" s="51" t="s">
        <v>342</v>
      </c>
    </row>
    <row r="405" ht="15.0" customHeight="1">
      <c r="A405" s="51">
        <v>71.0</v>
      </c>
      <c r="B405" s="51" t="s">
        <v>527</v>
      </c>
      <c r="C405" s="51" t="s">
        <v>192</v>
      </c>
      <c r="D405" s="51" t="s">
        <v>308</v>
      </c>
      <c r="E405" s="51" t="s">
        <v>351</v>
      </c>
      <c r="F405" s="51" t="s">
        <v>341</v>
      </c>
      <c r="G405" s="52">
        <v>65.65656565656566</v>
      </c>
      <c r="H405" s="52"/>
      <c r="I405" s="52">
        <v>65.65656565656566</v>
      </c>
      <c r="J405" s="51" t="s">
        <v>342</v>
      </c>
    </row>
    <row r="406" ht="15.0" customHeight="1">
      <c r="A406" s="51">
        <v>71.0</v>
      </c>
      <c r="B406" s="51" t="s">
        <v>527</v>
      </c>
      <c r="C406" s="51" t="s">
        <v>192</v>
      </c>
      <c r="D406" s="51" t="s">
        <v>308</v>
      </c>
      <c r="E406" s="51" t="s">
        <v>352</v>
      </c>
      <c r="F406" s="51" t="s">
        <v>341</v>
      </c>
      <c r="G406" s="52">
        <v>0.42087542087542085</v>
      </c>
      <c r="H406" s="52"/>
      <c r="I406" s="52">
        <v>0.42087542087542085</v>
      </c>
      <c r="J406" s="51" t="s">
        <v>342</v>
      </c>
    </row>
    <row r="407" ht="15.0" customHeight="1">
      <c r="A407" s="51">
        <v>71.0</v>
      </c>
      <c r="B407" s="51" t="s">
        <v>527</v>
      </c>
      <c r="C407" s="51" t="s">
        <v>192</v>
      </c>
      <c r="D407" s="51" t="s">
        <v>308</v>
      </c>
      <c r="E407" s="51" t="s">
        <v>353</v>
      </c>
      <c r="F407" s="51" t="s">
        <v>354</v>
      </c>
      <c r="G407" s="52">
        <v>18.676868686868687</v>
      </c>
      <c r="H407" s="52">
        <v>18.69686868686869</v>
      </c>
      <c r="I407" s="52">
        <v>18.68686868686869</v>
      </c>
      <c r="J407" s="51" t="s">
        <v>342</v>
      </c>
    </row>
    <row r="408" ht="15.0" customHeight="1">
      <c r="A408" s="51">
        <v>72.0</v>
      </c>
      <c r="B408" s="51" t="s">
        <v>530</v>
      </c>
      <c r="C408" s="51" t="s">
        <v>192</v>
      </c>
      <c r="D408" s="51" t="s">
        <v>308</v>
      </c>
      <c r="E408" s="51" t="s">
        <v>340</v>
      </c>
      <c r="F408" s="51" t="s">
        <v>341</v>
      </c>
      <c r="G408" s="52">
        <v>0.6029579067121729</v>
      </c>
      <c r="H408" s="52"/>
      <c r="I408" s="52">
        <v>0.6029579067121729</v>
      </c>
      <c r="J408" s="51" t="s">
        <v>342</v>
      </c>
    </row>
    <row r="409" ht="15.0" customHeight="1">
      <c r="A409" s="51">
        <v>72.0</v>
      </c>
      <c r="B409" s="51" t="s">
        <v>530</v>
      </c>
      <c r="C409" s="51" t="s">
        <v>192</v>
      </c>
      <c r="D409" s="51" t="s">
        <v>308</v>
      </c>
      <c r="E409" s="51" t="s">
        <v>343</v>
      </c>
      <c r="F409" s="51" t="s">
        <v>341</v>
      </c>
      <c r="G409" s="52">
        <v>1.3947368421052633</v>
      </c>
      <c r="H409" s="52"/>
      <c r="I409" s="52">
        <v>1.3947368421052633</v>
      </c>
      <c r="J409" s="51" t="s">
        <v>342</v>
      </c>
    </row>
    <row r="410" ht="15.0" customHeight="1">
      <c r="A410" s="51">
        <v>72.0</v>
      </c>
      <c r="B410" s="51" t="s">
        <v>530</v>
      </c>
      <c r="C410" s="51" t="s">
        <v>192</v>
      </c>
      <c r="D410" s="51" t="s">
        <v>308</v>
      </c>
      <c r="E410" s="51" t="s">
        <v>344</v>
      </c>
      <c r="F410" s="51" t="s">
        <v>345</v>
      </c>
      <c r="G410" s="52"/>
      <c r="H410" s="52">
        <v>7.0</v>
      </c>
      <c r="I410" s="52">
        <v>7.0</v>
      </c>
      <c r="J410" s="51" t="s">
        <v>342</v>
      </c>
    </row>
    <row r="411" ht="15.0" customHeight="1">
      <c r="A411" s="51">
        <v>72.0</v>
      </c>
      <c r="B411" s="51" t="s">
        <v>530</v>
      </c>
      <c r="C411" s="51" t="s">
        <v>192</v>
      </c>
      <c r="D411" s="51" t="s">
        <v>308</v>
      </c>
      <c r="E411" s="51" t="s">
        <v>347</v>
      </c>
      <c r="F411" s="51" t="s">
        <v>341</v>
      </c>
      <c r="G411" s="52">
        <v>30.0</v>
      </c>
      <c r="H411" s="52"/>
      <c r="I411" s="52">
        <v>30.0</v>
      </c>
      <c r="J411" s="51" t="s">
        <v>342</v>
      </c>
    </row>
    <row r="412" ht="15.0" customHeight="1">
      <c r="A412" s="51">
        <v>72.0</v>
      </c>
      <c r="B412" s="51" t="s">
        <v>530</v>
      </c>
      <c r="C412" s="51" t="s">
        <v>192</v>
      </c>
      <c r="D412" s="51" t="s">
        <v>308</v>
      </c>
      <c r="E412" s="51" t="s">
        <v>351</v>
      </c>
      <c r="F412" s="51" t="s">
        <v>341</v>
      </c>
      <c r="G412" s="52">
        <v>65.98407281001137</v>
      </c>
      <c r="H412" s="52"/>
      <c r="I412" s="52">
        <v>65.98407281001137</v>
      </c>
      <c r="J412" s="51" t="s">
        <v>342</v>
      </c>
    </row>
    <row r="413" ht="15.0" customHeight="1">
      <c r="A413" s="51">
        <v>72.0</v>
      </c>
      <c r="B413" s="51" t="s">
        <v>530</v>
      </c>
      <c r="C413" s="51" t="s">
        <v>192</v>
      </c>
      <c r="D413" s="51" t="s">
        <v>308</v>
      </c>
      <c r="E413" s="51" t="s">
        <v>352</v>
      </c>
      <c r="F413" s="51" t="s">
        <v>341</v>
      </c>
      <c r="G413" s="52">
        <v>0.4323094425483503</v>
      </c>
      <c r="H413" s="52"/>
      <c r="I413" s="52">
        <v>0.4323094425483503</v>
      </c>
      <c r="J413" s="51" t="s">
        <v>342</v>
      </c>
    </row>
    <row r="414" ht="15.0" customHeight="1">
      <c r="A414" s="51">
        <v>72.0</v>
      </c>
      <c r="B414" s="51" t="s">
        <v>530</v>
      </c>
      <c r="C414" s="51" t="s">
        <v>192</v>
      </c>
      <c r="D414" s="51" t="s">
        <v>308</v>
      </c>
      <c r="E414" s="51" t="s">
        <v>353</v>
      </c>
      <c r="F414" s="51" t="s">
        <v>354</v>
      </c>
      <c r="G414" s="52">
        <v>18.420034129692826</v>
      </c>
      <c r="H414" s="52">
        <v>18.44003412969283</v>
      </c>
      <c r="I414" s="52">
        <v>18.430034129692828</v>
      </c>
      <c r="J414" s="51" t="s">
        <v>342</v>
      </c>
    </row>
    <row r="415" ht="15.0" customHeight="1">
      <c r="A415" s="51">
        <v>73.0</v>
      </c>
      <c r="B415" s="51" t="s">
        <v>533</v>
      </c>
      <c r="C415" s="51" t="s">
        <v>192</v>
      </c>
      <c r="D415" s="51" t="s">
        <v>308</v>
      </c>
      <c r="E415" s="51" t="s">
        <v>340</v>
      </c>
      <c r="F415" s="51" t="s">
        <v>341</v>
      </c>
      <c r="G415" s="52">
        <v>0.37764350453172213</v>
      </c>
      <c r="H415" s="52"/>
      <c r="I415" s="52">
        <v>0.37764350453172213</v>
      </c>
      <c r="J415" s="51" t="s">
        <v>342</v>
      </c>
    </row>
    <row r="416" ht="15.0" customHeight="1">
      <c r="A416" s="51">
        <v>73.0</v>
      </c>
      <c r="B416" s="51" t="s">
        <v>533</v>
      </c>
      <c r="C416" s="51" t="s">
        <v>192</v>
      </c>
      <c r="D416" s="51" t="s">
        <v>308</v>
      </c>
      <c r="E416" s="51" t="s">
        <v>343</v>
      </c>
      <c r="F416" s="51" t="s">
        <v>341</v>
      </c>
      <c r="G416" s="52">
        <v>1.3513513513513513</v>
      </c>
      <c r="H416" s="52"/>
      <c r="I416" s="52">
        <v>1.3513513513513513</v>
      </c>
      <c r="J416" s="51" t="s">
        <v>342</v>
      </c>
    </row>
    <row r="417" ht="15.0" customHeight="1">
      <c r="A417" s="51">
        <v>73.0</v>
      </c>
      <c r="B417" s="51" t="s">
        <v>533</v>
      </c>
      <c r="C417" s="51" t="s">
        <v>192</v>
      </c>
      <c r="D417" s="51" t="s">
        <v>308</v>
      </c>
      <c r="E417" s="51" t="s">
        <v>344</v>
      </c>
      <c r="F417" s="51" t="s">
        <v>345</v>
      </c>
      <c r="G417" s="52"/>
      <c r="H417" s="52">
        <v>7.0</v>
      </c>
      <c r="I417" s="52">
        <v>7.0</v>
      </c>
      <c r="J417" s="51" t="s">
        <v>342</v>
      </c>
    </row>
    <row r="418" ht="15.0" customHeight="1">
      <c r="A418" s="51">
        <v>73.0</v>
      </c>
      <c r="B418" s="51" t="s">
        <v>533</v>
      </c>
      <c r="C418" s="51" t="s">
        <v>192</v>
      </c>
      <c r="D418" s="51" t="s">
        <v>308</v>
      </c>
      <c r="E418" s="51" t="s">
        <v>347</v>
      </c>
      <c r="F418" s="51" t="s">
        <v>341</v>
      </c>
      <c r="G418" s="52">
        <v>30.0</v>
      </c>
      <c r="H418" s="52"/>
      <c r="I418" s="52">
        <v>30.0</v>
      </c>
      <c r="J418" s="51" t="s">
        <v>342</v>
      </c>
    </row>
    <row r="419" ht="15.0" customHeight="1">
      <c r="A419" s="51">
        <v>73.0</v>
      </c>
      <c r="B419" s="51" t="s">
        <v>533</v>
      </c>
      <c r="C419" s="51" t="s">
        <v>192</v>
      </c>
      <c r="D419" s="51" t="s">
        <v>308</v>
      </c>
      <c r="E419" s="51" t="s">
        <v>351</v>
      </c>
      <c r="F419" s="51" t="s">
        <v>341</v>
      </c>
      <c r="G419" s="52">
        <v>52.87009063444109</v>
      </c>
      <c r="H419" s="52"/>
      <c r="I419" s="52">
        <v>52.87009063444109</v>
      </c>
      <c r="J419" s="51" t="s">
        <v>342</v>
      </c>
    </row>
    <row r="420" ht="15.0" customHeight="1">
      <c r="A420" s="51">
        <v>73.0</v>
      </c>
      <c r="B420" s="51" t="s">
        <v>533</v>
      </c>
      <c r="C420" s="51" t="s">
        <v>192</v>
      </c>
      <c r="D420" s="51" t="s">
        <v>308</v>
      </c>
      <c r="E420" s="51" t="s">
        <v>352</v>
      </c>
      <c r="F420" s="51" t="s">
        <v>341</v>
      </c>
      <c r="G420" s="52">
        <v>0.2794561933534744</v>
      </c>
      <c r="H420" s="52"/>
      <c r="I420" s="52">
        <v>0.2794561933534744</v>
      </c>
      <c r="J420" s="51" t="s">
        <v>342</v>
      </c>
    </row>
    <row r="421" ht="15.0" customHeight="1">
      <c r="A421" s="51">
        <v>73.0</v>
      </c>
      <c r="B421" s="51" t="s">
        <v>533</v>
      </c>
      <c r="C421" s="51" t="s">
        <v>192</v>
      </c>
      <c r="D421" s="51" t="s">
        <v>308</v>
      </c>
      <c r="E421" s="51" t="s">
        <v>353</v>
      </c>
      <c r="F421" s="51" t="s">
        <v>354</v>
      </c>
      <c r="G421" s="52">
        <v>12.301178247734141</v>
      </c>
      <c r="H421" s="52">
        <v>12.32117824773414</v>
      </c>
      <c r="I421" s="52">
        <v>12.31117824773414</v>
      </c>
      <c r="J421" s="51" t="s">
        <v>342</v>
      </c>
    </row>
    <row r="422" ht="15.0" customHeight="1">
      <c r="A422" s="51">
        <v>75.0</v>
      </c>
      <c r="B422" s="51" t="s">
        <v>536</v>
      </c>
      <c r="C422" s="51" t="s">
        <v>192</v>
      </c>
      <c r="D422" s="51" t="s">
        <v>308</v>
      </c>
      <c r="E422" s="51" t="s">
        <v>340</v>
      </c>
      <c r="F422" s="51" t="s">
        <v>341</v>
      </c>
      <c r="G422" s="52">
        <v>0.5176470588235292</v>
      </c>
      <c r="H422" s="52"/>
      <c r="I422" s="52">
        <v>0.5176470588235292</v>
      </c>
      <c r="J422" s="51" t="s">
        <v>342</v>
      </c>
    </row>
    <row r="423" ht="15.0" customHeight="1">
      <c r="A423" s="51">
        <v>75.0</v>
      </c>
      <c r="B423" s="51" t="s">
        <v>536</v>
      </c>
      <c r="C423" s="51" t="s">
        <v>192</v>
      </c>
      <c r="D423" s="51" t="s">
        <v>308</v>
      </c>
      <c r="E423" s="51" t="s">
        <v>343</v>
      </c>
      <c r="F423" s="51" t="s">
        <v>341</v>
      </c>
      <c r="G423" s="52">
        <v>1.2941176470588234</v>
      </c>
      <c r="H423" s="52"/>
      <c r="I423" s="52">
        <v>1.2941176470588234</v>
      </c>
      <c r="J423" s="51" t="s">
        <v>342</v>
      </c>
    </row>
    <row r="424" ht="15.0" customHeight="1">
      <c r="A424" s="51">
        <v>75.0</v>
      </c>
      <c r="B424" s="51" t="s">
        <v>536</v>
      </c>
      <c r="C424" s="51" t="s">
        <v>192</v>
      </c>
      <c r="D424" s="51" t="s">
        <v>308</v>
      </c>
      <c r="E424" s="51" t="s">
        <v>344</v>
      </c>
      <c r="F424" s="51" t="s">
        <v>345</v>
      </c>
      <c r="G424" s="52"/>
      <c r="H424" s="52">
        <v>7.0</v>
      </c>
      <c r="I424" s="52">
        <v>7.0</v>
      </c>
      <c r="J424" s="51" t="s">
        <v>342</v>
      </c>
    </row>
    <row r="425" ht="15.0" customHeight="1">
      <c r="A425" s="51">
        <v>75.0</v>
      </c>
      <c r="B425" s="51" t="s">
        <v>536</v>
      </c>
      <c r="C425" s="51" t="s">
        <v>192</v>
      </c>
      <c r="D425" s="51" t="s">
        <v>308</v>
      </c>
      <c r="E425" s="51" t="s">
        <v>347</v>
      </c>
      <c r="F425" s="51" t="s">
        <v>345</v>
      </c>
      <c r="G425" s="52"/>
      <c r="H425" s="52">
        <v>30.0</v>
      </c>
      <c r="I425" s="52">
        <v>30.0</v>
      </c>
      <c r="J425" s="51" t="s">
        <v>260</v>
      </c>
    </row>
    <row r="426" ht="15.0" customHeight="1">
      <c r="A426" s="51">
        <v>75.0</v>
      </c>
      <c r="B426" s="51" t="s">
        <v>536</v>
      </c>
      <c r="C426" s="51" t="s">
        <v>192</v>
      </c>
      <c r="D426" s="51" t="s">
        <v>308</v>
      </c>
      <c r="E426" s="51" t="s">
        <v>351</v>
      </c>
      <c r="F426" s="51" t="s">
        <v>341</v>
      </c>
      <c r="G426" s="52">
        <v>79.2156862745098</v>
      </c>
      <c r="H426" s="52"/>
      <c r="I426" s="52">
        <v>79.2156862745098</v>
      </c>
      <c r="J426" s="51" t="s">
        <v>342</v>
      </c>
    </row>
    <row r="427" ht="15.0" customHeight="1">
      <c r="A427" s="51">
        <v>75.0</v>
      </c>
      <c r="B427" s="51" t="s">
        <v>536</v>
      </c>
      <c r="C427" s="51" t="s">
        <v>192</v>
      </c>
      <c r="D427" s="51" t="s">
        <v>308</v>
      </c>
      <c r="E427" s="51" t="s">
        <v>352</v>
      </c>
      <c r="F427" s="51" t="s">
        <v>341</v>
      </c>
      <c r="G427" s="52">
        <v>0.3999999999999999</v>
      </c>
      <c r="H427" s="52"/>
      <c r="I427" s="52">
        <v>0.3999999999999999</v>
      </c>
      <c r="J427" s="51" t="s">
        <v>342</v>
      </c>
    </row>
    <row r="428" ht="15.0" customHeight="1">
      <c r="A428" s="51">
        <v>75.0</v>
      </c>
      <c r="B428" s="51" t="s">
        <v>536</v>
      </c>
      <c r="C428" s="51" t="s">
        <v>192</v>
      </c>
      <c r="D428" s="51" t="s">
        <v>308</v>
      </c>
      <c r="E428" s="51" t="s">
        <v>353</v>
      </c>
      <c r="F428" s="51" t="s">
        <v>354</v>
      </c>
      <c r="G428" s="52">
        <v>15.52</v>
      </c>
      <c r="H428" s="52">
        <v>15.54</v>
      </c>
      <c r="I428" s="52">
        <v>15.52941176470588</v>
      </c>
      <c r="J428" s="51" t="s">
        <v>260</v>
      </c>
    </row>
    <row r="429" ht="15.0" customHeight="1">
      <c r="A429" s="51">
        <v>76.0</v>
      </c>
      <c r="B429" s="51" t="s">
        <v>538</v>
      </c>
      <c r="C429" s="51" t="s">
        <v>192</v>
      </c>
      <c r="D429" s="51" t="s">
        <v>308</v>
      </c>
      <c r="E429" s="51" t="s">
        <v>340</v>
      </c>
      <c r="F429" s="51" t="s">
        <v>341</v>
      </c>
      <c r="G429" s="52">
        <v>0.46267087276551006</v>
      </c>
      <c r="H429" s="52"/>
      <c r="I429" s="52">
        <v>0.46267087276551006</v>
      </c>
      <c r="J429" s="51" t="s">
        <v>342</v>
      </c>
    </row>
    <row r="430" ht="15.0" customHeight="1">
      <c r="A430" s="51">
        <v>76.0</v>
      </c>
      <c r="B430" s="51" t="s">
        <v>538</v>
      </c>
      <c r="C430" s="51" t="s">
        <v>192</v>
      </c>
      <c r="D430" s="51" t="s">
        <v>308</v>
      </c>
      <c r="E430" s="51" t="s">
        <v>343</v>
      </c>
      <c r="F430" s="51" t="s">
        <v>341</v>
      </c>
      <c r="G430" s="52">
        <v>1.3333333333333337</v>
      </c>
      <c r="H430" s="52"/>
      <c r="I430" s="52">
        <v>1.3333333333333337</v>
      </c>
      <c r="J430" s="51" t="s">
        <v>342</v>
      </c>
    </row>
    <row r="431" ht="15.0" customHeight="1">
      <c r="A431" s="51">
        <v>76.0</v>
      </c>
      <c r="B431" s="51" t="s">
        <v>538</v>
      </c>
      <c r="C431" s="51" t="s">
        <v>192</v>
      </c>
      <c r="D431" s="51" t="s">
        <v>308</v>
      </c>
      <c r="E431" s="51" t="s">
        <v>344</v>
      </c>
      <c r="F431" s="51" t="s">
        <v>345</v>
      </c>
      <c r="G431" s="52"/>
      <c r="H431" s="52">
        <v>7.0</v>
      </c>
      <c r="I431" s="52">
        <v>7.0</v>
      </c>
      <c r="J431" s="51" t="s">
        <v>342</v>
      </c>
    </row>
    <row r="432" ht="15.0" customHeight="1">
      <c r="A432" s="51">
        <v>76.0</v>
      </c>
      <c r="B432" s="51" t="s">
        <v>538</v>
      </c>
      <c r="C432" s="51" t="s">
        <v>192</v>
      </c>
      <c r="D432" s="51" t="s">
        <v>308</v>
      </c>
      <c r="E432" s="51" t="s">
        <v>347</v>
      </c>
      <c r="F432" s="51" t="s">
        <v>345</v>
      </c>
      <c r="G432" s="52"/>
      <c r="H432" s="52">
        <v>30.0</v>
      </c>
      <c r="I432" s="52">
        <v>30.0</v>
      </c>
      <c r="J432" s="51" t="s">
        <v>260</v>
      </c>
    </row>
    <row r="433" ht="15.0" customHeight="1">
      <c r="A433" s="51">
        <v>76.0</v>
      </c>
      <c r="B433" s="51" t="s">
        <v>538</v>
      </c>
      <c r="C433" s="51" t="s">
        <v>192</v>
      </c>
      <c r="D433" s="51" t="s">
        <v>308</v>
      </c>
      <c r="E433" s="51" t="s">
        <v>351</v>
      </c>
      <c r="F433" s="51" t="s">
        <v>341</v>
      </c>
      <c r="G433" s="52">
        <v>79.91587802313354</v>
      </c>
      <c r="H433" s="52"/>
      <c r="I433" s="52">
        <v>79.91587802313354</v>
      </c>
      <c r="J433" s="51" t="s">
        <v>342</v>
      </c>
    </row>
    <row r="434" ht="15.0" customHeight="1">
      <c r="A434" s="51">
        <v>76.0</v>
      </c>
      <c r="B434" s="51" t="s">
        <v>538</v>
      </c>
      <c r="C434" s="51" t="s">
        <v>192</v>
      </c>
      <c r="D434" s="51" t="s">
        <v>308</v>
      </c>
      <c r="E434" s="51" t="s">
        <v>352</v>
      </c>
      <c r="F434" s="51" t="s">
        <v>341</v>
      </c>
      <c r="G434" s="52">
        <v>0.34700315457413244</v>
      </c>
      <c r="H434" s="52"/>
      <c r="I434" s="52">
        <v>0.34700315457413244</v>
      </c>
      <c r="J434" s="51" t="s">
        <v>342</v>
      </c>
    </row>
    <row r="435" ht="15.0" customHeight="1">
      <c r="A435" s="51">
        <v>76.0</v>
      </c>
      <c r="B435" s="51" t="s">
        <v>538</v>
      </c>
      <c r="C435" s="51" t="s">
        <v>192</v>
      </c>
      <c r="D435" s="51" t="s">
        <v>308</v>
      </c>
      <c r="E435" s="51" t="s">
        <v>353</v>
      </c>
      <c r="F435" s="51" t="s">
        <v>354</v>
      </c>
      <c r="G435" s="52">
        <v>14.395888538380651</v>
      </c>
      <c r="H435" s="52">
        <v>14.415888538380651</v>
      </c>
      <c r="I435" s="52">
        <v>14.405888538380651</v>
      </c>
      <c r="J435" s="51" t="s">
        <v>342</v>
      </c>
    </row>
    <row r="436" ht="15.0" customHeight="1">
      <c r="A436" s="51">
        <v>77.0</v>
      </c>
      <c r="B436" s="51" t="s">
        <v>539</v>
      </c>
      <c r="C436" s="51" t="s">
        <v>192</v>
      </c>
      <c r="D436" s="51" t="s">
        <v>308</v>
      </c>
      <c r="E436" s="51" t="s">
        <v>340</v>
      </c>
      <c r="F436" s="51" t="s">
        <v>341</v>
      </c>
      <c r="G436" s="52">
        <v>0.36929057337220594</v>
      </c>
      <c r="H436" s="52"/>
      <c r="I436" s="52">
        <v>0.36929057337220594</v>
      </c>
      <c r="J436" s="51" t="s">
        <v>342</v>
      </c>
    </row>
    <row r="437" ht="15.0" customHeight="1">
      <c r="A437" s="51">
        <v>77.0</v>
      </c>
      <c r="B437" s="51" t="s">
        <v>539</v>
      </c>
      <c r="C437" s="51" t="s">
        <v>192</v>
      </c>
      <c r="D437" s="51" t="s">
        <v>308</v>
      </c>
      <c r="E437" s="51" t="s">
        <v>343</v>
      </c>
      <c r="F437" s="51" t="s">
        <v>341</v>
      </c>
      <c r="G437" s="52">
        <v>1.3103448275862069</v>
      </c>
      <c r="H437" s="52"/>
      <c r="I437" s="52">
        <v>1.3103448275862069</v>
      </c>
      <c r="J437" s="51" t="s">
        <v>342</v>
      </c>
    </row>
    <row r="438" ht="15.0" customHeight="1">
      <c r="A438" s="51">
        <v>77.0</v>
      </c>
      <c r="B438" s="51" t="s">
        <v>539</v>
      </c>
      <c r="C438" s="51" t="s">
        <v>192</v>
      </c>
      <c r="D438" s="51" t="s">
        <v>308</v>
      </c>
      <c r="E438" s="51" t="s">
        <v>344</v>
      </c>
      <c r="F438" s="51" t="s">
        <v>345</v>
      </c>
      <c r="G438" s="52"/>
      <c r="H438" s="52">
        <v>7.0</v>
      </c>
      <c r="I438" s="52">
        <v>7.0</v>
      </c>
      <c r="J438" s="51" t="s">
        <v>342</v>
      </c>
    </row>
    <row r="439" ht="15.0" customHeight="1">
      <c r="A439" s="51">
        <v>77.0</v>
      </c>
      <c r="B439" s="51" t="s">
        <v>539</v>
      </c>
      <c r="C439" s="51" t="s">
        <v>192</v>
      </c>
      <c r="D439" s="51" t="s">
        <v>308</v>
      </c>
      <c r="E439" s="51" t="s">
        <v>347</v>
      </c>
      <c r="F439" s="51" t="s">
        <v>345</v>
      </c>
      <c r="G439" s="52"/>
      <c r="H439" s="52">
        <v>20.0</v>
      </c>
      <c r="I439" s="52">
        <v>30.0</v>
      </c>
      <c r="J439" s="51" t="s">
        <v>260</v>
      </c>
    </row>
    <row r="440" ht="15.0" customHeight="1">
      <c r="A440" s="51">
        <v>77.0</v>
      </c>
      <c r="B440" s="51" t="s">
        <v>539</v>
      </c>
      <c r="C440" s="51" t="s">
        <v>192</v>
      </c>
      <c r="D440" s="51" t="s">
        <v>308</v>
      </c>
      <c r="E440" s="51" t="s">
        <v>351</v>
      </c>
      <c r="F440" s="51" t="s">
        <v>341</v>
      </c>
      <c r="G440" s="52">
        <v>66.08357628765792</v>
      </c>
      <c r="H440" s="52"/>
      <c r="I440" s="52">
        <v>66.08357628765792</v>
      </c>
      <c r="J440" s="51" t="s">
        <v>342</v>
      </c>
    </row>
    <row r="441" ht="15.0" customHeight="1">
      <c r="A441" s="51">
        <v>77.0</v>
      </c>
      <c r="B441" s="51" t="s">
        <v>539</v>
      </c>
      <c r="C441" s="51" t="s">
        <v>192</v>
      </c>
      <c r="D441" s="51" t="s">
        <v>308</v>
      </c>
      <c r="E441" s="51" t="s">
        <v>352</v>
      </c>
      <c r="F441" s="51" t="s">
        <v>341</v>
      </c>
      <c r="G441" s="52">
        <v>0.28182701652089404</v>
      </c>
      <c r="H441" s="52"/>
      <c r="I441" s="52">
        <v>0.28182701652089404</v>
      </c>
      <c r="J441" s="51" t="s">
        <v>342</v>
      </c>
    </row>
    <row r="442" ht="15.0" customHeight="1">
      <c r="A442" s="51">
        <v>77.0</v>
      </c>
      <c r="B442" s="51" t="s">
        <v>539</v>
      </c>
      <c r="C442" s="51" t="s">
        <v>192</v>
      </c>
      <c r="D442" s="51" t="s">
        <v>308</v>
      </c>
      <c r="E442" s="51" t="s">
        <v>353</v>
      </c>
      <c r="F442" s="51" t="s">
        <v>354</v>
      </c>
      <c r="G442" s="52">
        <v>11.943352769679297</v>
      </c>
      <c r="H442" s="52">
        <v>11.963352769679297</v>
      </c>
      <c r="I442" s="52">
        <v>11.953352769679297</v>
      </c>
      <c r="J442" s="51" t="s">
        <v>342</v>
      </c>
    </row>
    <row r="443" ht="15.0" customHeight="1">
      <c r="A443" s="51">
        <v>78.0</v>
      </c>
      <c r="B443" s="51" t="s">
        <v>541</v>
      </c>
      <c r="C443" s="51" t="s">
        <v>192</v>
      </c>
      <c r="D443" s="51" t="s">
        <v>308</v>
      </c>
      <c r="E443" s="51" t="s">
        <v>340</v>
      </c>
      <c r="F443" s="51" t="s">
        <v>341</v>
      </c>
      <c r="G443" s="52">
        <v>0.3746397694524495</v>
      </c>
      <c r="H443" s="52"/>
      <c r="I443" s="52">
        <v>0.3746397694524495</v>
      </c>
      <c r="J443" s="51" t="s">
        <v>342</v>
      </c>
    </row>
    <row r="444" ht="15.0" customHeight="1">
      <c r="A444" s="51">
        <v>78.0</v>
      </c>
      <c r="B444" s="51" t="s">
        <v>541</v>
      </c>
      <c r="C444" s="51" t="s">
        <v>192</v>
      </c>
      <c r="D444" s="51" t="s">
        <v>308</v>
      </c>
      <c r="E444" s="51" t="s">
        <v>343</v>
      </c>
      <c r="F444" s="51" t="s">
        <v>341</v>
      </c>
      <c r="G444" s="52">
        <v>1.3220338983050846</v>
      </c>
      <c r="H444" s="52"/>
      <c r="I444" s="52">
        <v>1.3220338983050846</v>
      </c>
      <c r="J444" s="51" t="s">
        <v>342</v>
      </c>
    </row>
    <row r="445" ht="15.0" customHeight="1">
      <c r="A445" s="51">
        <v>78.0</v>
      </c>
      <c r="B445" s="51" t="s">
        <v>541</v>
      </c>
      <c r="C445" s="51" t="s">
        <v>192</v>
      </c>
      <c r="D445" s="51" t="s">
        <v>308</v>
      </c>
      <c r="E445" s="51" t="s">
        <v>344</v>
      </c>
      <c r="F445" s="51" t="s">
        <v>345</v>
      </c>
      <c r="G445" s="52"/>
      <c r="H445" s="52">
        <v>7.0</v>
      </c>
      <c r="I445" s="52">
        <v>7.0</v>
      </c>
      <c r="J445" s="51" t="s">
        <v>342</v>
      </c>
    </row>
    <row r="446" ht="15.0" customHeight="1">
      <c r="A446" s="51">
        <v>78.0</v>
      </c>
      <c r="B446" s="51" t="s">
        <v>541</v>
      </c>
      <c r="C446" s="51" t="s">
        <v>192</v>
      </c>
      <c r="D446" s="51" t="s">
        <v>308</v>
      </c>
      <c r="E446" s="51" t="s">
        <v>347</v>
      </c>
      <c r="F446" s="51" t="s">
        <v>341</v>
      </c>
      <c r="G446" s="52">
        <v>30.0</v>
      </c>
      <c r="H446" s="52"/>
      <c r="I446" s="52">
        <v>30.0</v>
      </c>
      <c r="J446" s="51" t="s">
        <v>342</v>
      </c>
    </row>
    <row r="447" ht="15.0" customHeight="1">
      <c r="A447" s="51">
        <v>78.0</v>
      </c>
      <c r="B447" s="51" t="s">
        <v>541</v>
      </c>
      <c r="C447" s="51" t="s">
        <v>192</v>
      </c>
      <c r="D447" s="51" t="s">
        <v>308</v>
      </c>
      <c r="E447" s="51" t="s">
        <v>351</v>
      </c>
      <c r="F447" s="51" t="s">
        <v>341</v>
      </c>
      <c r="G447" s="52">
        <v>52.833813640730064</v>
      </c>
      <c r="H447" s="52"/>
      <c r="I447" s="52">
        <v>52.833813640730064</v>
      </c>
      <c r="J447" s="51" t="s">
        <v>342</v>
      </c>
    </row>
    <row r="448" ht="15.0" customHeight="1">
      <c r="A448" s="51">
        <v>78.0</v>
      </c>
      <c r="B448" s="51" t="s">
        <v>541</v>
      </c>
      <c r="C448" s="51" t="s">
        <v>192</v>
      </c>
      <c r="D448" s="51" t="s">
        <v>308</v>
      </c>
      <c r="E448" s="51" t="s">
        <v>352</v>
      </c>
      <c r="F448" s="51" t="s">
        <v>341</v>
      </c>
      <c r="G448" s="52">
        <v>0.2833813640730067</v>
      </c>
      <c r="H448" s="52"/>
      <c r="I448" s="52">
        <v>0.2833813640730067</v>
      </c>
      <c r="J448" s="51" t="s">
        <v>342</v>
      </c>
    </row>
    <row r="449" ht="15.0" customHeight="1">
      <c r="A449" s="51">
        <v>78.0</v>
      </c>
      <c r="B449" s="51" t="s">
        <v>541</v>
      </c>
      <c r="C449" s="51" t="s">
        <v>192</v>
      </c>
      <c r="D449" s="51" t="s">
        <v>308</v>
      </c>
      <c r="E449" s="51" t="s">
        <v>353</v>
      </c>
      <c r="F449" s="51" t="s">
        <v>354</v>
      </c>
      <c r="G449" s="52">
        <v>12.189807877041304</v>
      </c>
      <c r="H449" s="52">
        <v>12.209807877041303</v>
      </c>
      <c r="I449" s="52">
        <v>12.199807877041303</v>
      </c>
      <c r="J449" s="51" t="s">
        <v>342</v>
      </c>
    </row>
    <row r="450" ht="15.0" customHeight="1">
      <c r="A450" s="51">
        <v>79.0</v>
      </c>
      <c r="B450" s="51" t="s">
        <v>543</v>
      </c>
      <c r="C450" s="51" t="s">
        <v>192</v>
      </c>
      <c r="D450" s="51" t="s">
        <v>308</v>
      </c>
      <c r="E450" s="51" t="s">
        <v>340</v>
      </c>
      <c r="F450" s="51" t="s">
        <v>341</v>
      </c>
      <c r="G450" s="52">
        <v>0.6013745704467353</v>
      </c>
      <c r="H450" s="52"/>
      <c r="I450" s="52">
        <v>0.6013745704467353</v>
      </c>
      <c r="J450" s="51" t="s">
        <v>342</v>
      </c>
    </row>
    <row r="451" ht="15.0" customHeight="1">
      <c r="A451" s="51">
        <v>79.0</v>
      </c>
      <c r="B451" s="51" t="s">
        <v>543</v>
      </c>
      <c r="C451" s="51" t="s">
        <v>192</v>
      </c>
      <c r="D451" s="51" t="s">
        <v>308</v>
      </c>
      <c r="E451" s="51" t="s">
        <v>343</v>
      </c>
      <c r="F451" s="51" t="s">
        <v>341</v>
      </c>
      <c r="G451" s="52">
        <v>1.372549019607843</v>
      </c>
      <c r="H451" s="52"/>
      <c r="I451" s="52">
        <v>1.372549019607843</v>
      </c>
      <c r="J451" s="51" t="s">
        <v>342</v>
      </c>
    </row>
    <row r="452" ht="15.0" customHeight="1">
      <c r="A452" s="51">
        <v>79.0</v>
      </c>
      <c r="B452" s="51" t="s">
        <v>543</v>
      </c>
      <c r="C452" s="51" t="s">
        <v>192</v>
      </c>
      <c r="D452" s="51" t="s">
        <v>308</v>
      </c>
      <c r="E452" s="51" t="s">
        <v>344</v>
      </c>
      <c r="F452" s="51" t="s">
        <v>345</v>
      </c>
      <c r="G452" s="52"/>
      <c r="H452" s="52">
        <v>7.0</v>
      </c>
      <c r="I452" s="52">
        <v>7.0</v>
      </c>
      <c r="J452" s="51" t="s">
        <v>342</v>
      </c>
    </row>
    <row r="453" ht="15.0" customHeight="1">
      <c r="A453" s="51">
        <v>79.0</v>
      </c>
      <c r="B453" s="51" t="s">
        <v>543</v>
      </c>
      <c r="C453" s="51" t="s">
        <v>192</v>
      </c>
      <c r="D453" s="51" t="s">
        <v>308</v>
      </c>
      <c r="E453" s="51" t="s">
        <v>347</v>
      </c>
      <c r="F453" s="51" t="s">
        <v>341</v>
      </c>
      <c r="G453" s="52">
        <v>30.0</v>
      </c>
      <c r="H453" s="52"/>
      <c r="I453" s="52">
        <v>30.0</v>
      </c>
      <c r="J453" s="51" t="s">
        <v>342</v>
      </c>
    </row>
    <row r="454" ht="15.0" customHeight="1">
      <c r="A454" s="51">
        <v>79.0</v>
      </c>
      <c r="B454" s="51" t="s">
        <v>543</v>
      </c>
      <c r="C454" s="51" t="s">
        <v>192</v>
      </c>
      <c r="D454" s="51" t="s">
        <v>308</v>
      </c>
      <c r="E454" s="51" t="s">
        <v>351</v>
      </c>
      <c r="F454" s="51" t="s">
        <v>341</v>
      </c>
      <c r="G454" s="52">
        <v>60.137457044673525</v>
      </c>
      <c r="H454" s="52"/>
      <c r="I454" s="52">
        <v>60.137457044673525</v>
      </c>
      <c r="J454" s="51" t="s">
        <v>342</v>
      </c>
    </row>
    <row r="455" ht="15.0" customHeight="1">
      <c r="A455" s="51">
        <v>79.0</v>
      </c>
      <c r="B455" s="51" t="s">
        <v>543</v>
      </c>
      <c r="C455" s="51" t="s">
        <v>192</v>
      </c>
      <c r="D455" s="51" t="s">
        <v>308</v>
      </c>
      <c r="E455" s="51" t="s">
        <v>352</v>
      </c>
      <c r="F455" s="51" t="s">
        <v>341</v>
      </c>
      <c r="G455" s="52">
        <v>0.43814432989690716</v>
      </c>
      <c r="H455" s="52"/>
      <c r="I455" s="52">
        <v>0.43814432989690716</v>
      </c>
      <c r="J455" s="51" t="s">
        <v>342</v>
      </c>
    </row>
    <row r="456" ht="15.0" customHeight="1">
      <c r="A456" s="51">
        <v>79.0</v>
      </c>
      <c r="B456" s="51" t="s">
        <v>543</v>
      </c>
      <c r="C456" s="51" t="s">
        <v>192</v>
      </c>
      <c r="D456" s="51" t="s">
        <v>308</v>
      </c>
      <c r="E456" s="51" t="s">
        <v>353</v>
      </c>
      <c r="F456" s="51" t="s">
        <v>354</v>
      </c>
      <c r="G456" s="52">
        <v>18.288969072164942</v>
      </c>
      <c r="H456" s="52">
        <v>18.308969072164945</v>
      </c>
      <c r="I456" s="52">
        <v>18.298969072164944</v>
      </c>
      <c r="J456" s="51" t="s">
        <v>342</v>
      </c>
    </row>
    <row r="457" ht="15.0" customHeight="1">
      <c r="A457" s="51">
        <v>80.0</v>
      </c>
      <c r="B457" s="51" t="s">
        <v>546</v>
      </c>
      <c r="C457" s="51" t="s">
        <v>192</v>
      </c>
      <c r="D457" s="51" t="s">
        <v>308</v>
      </c>
      <c r="E457" s="51" t="s">
        <v>340</v>
      </c>
      <c r="F457" s="51" t="s">
        <v>341</v>
      </c>
      <c r="G457" s="52">
        <v>0.3841145833333334</v>
      </c>
      <c r="H457" s="52"/>
      <c r="I457" s="52">
        <v>0.3841145833333334</v>
      </c>
      <c r="J457" s="51" t="s">
        <v>342</v>
      </c>
    </row>
    <row r="458" ht="15.0" customHeight="1">
      <c r="A458" s="51">
        <v>80.0</v>
      </c>
      <c r="B458" s="51" t="s">
        <v>546</v>
      </c>
      <c r="C458" s="51" t="s">
        <v>192</v>
      </c>
      <c r="D458" s="51" t="s">
        <v>308</v>
      </c>
      <c r="E458" s="51" t="s">
        <v>343</v>
      </c>
      <c r="F458" s="51" t="s">
        <v>341</v>
      </c>
      <c r="G458" s="52">
        <v>1.3409090909090908</v>
      </c>
      <c r="H458" s="52"/>
      <c r="I458" s="52">
        <v>1.3409090909090908</v>
      </c>
      <c r="J458" s="51" t="s">
        <v>342</v>
      </c>
    </row>
    <row r="459" ht="15.0" customHeight="1">
      <c r="A459" s="51">
        <v>80.0</v>
      </c>
      <c r="B459" s="51" t="s">
        <v>546</v>
      </c>
      <c r="C459" s="51" t="s">
        <v>192</v>
      </c>
      <c r="D459" s="51" t="s">
        <v>308</v>
      </c>
      <c r="E459" s="51" t="s">
        <v>344</v>
      </c>
      <c r="F459" s="51" t="s">
        <v>345</v>
      </c>
      <c r="G459" s="52"/>
      <c r="H459" s="52">
        <v>7.0</v>
      </c>
      <c r="I459" s="52">
        <v>7.0</v>
      </c>
      <c r="J459" s="51" t="s">
        <v>342</v>
      </c>
    </row>
    <row r="460" ht="15.0" customHeight="1">
      <c r="A460" s="51">
        <v>80.0</v>
      </c>
      <c r="B460" s="51" t="s">
        <v>546</v>
      </c>
      <c r="C460" s="51" t="s">
        <v>192</v>
      </c>
      <c r="D460" s="51" t="s">
        <v>308</v>
      </c>
      <c r="E460" s="51" t="s">
        <v>347</v>
      </c>
      <c r="F460" s="51" t="s">
        <v>341</v>
      </c>
      <c r="G460" s="52">
        <v>30.0</v>
      </c>
      <c r="H460" s="52"/>
      <c r="I460" s="52">
        <v>30.0</v>
      </c>
      <c r="J460" s="51" t="s">
        <v>342</v>
      </c>
    </row>
    <row r="461" ht="15.0" customHeight="1">
      <c r="A461" s="51">
        <v>80.0</v>
      </c>
      <c r="B461" s="51" t="s">
        <v>546</v>
      </c>
      <c r="C461" s="51" t="s">
        <v>192</v>
      </c>
      <c r="D461" s="51" t="s">
        <v>308</v>
      </c>
      <c r="E461" s="51" t="s">
        <v>351</v>
      </c>
      <c r="F461" s="51" t="s">
        <v>341</v>
      </c>
      <c r="G461" s="52">
        <v>53.38541666666667</v>
      </c>
      <c r="H461" s="52"/>
      <c r="I461" s="52">
        <v>53.38541666666667</v>
      </c>
      <c r="J461" s="51" t="s">
        <v>342</v>
      </c>
    </row>
    <row r="462" ht="15.0" customHeight="1">
      <c r="A462" s="51">
        <v>80.0</v>
      </c>
      <c r="B462" s="51" t="s">
        <v>546</v>
      </c>
      <c r="C462" s="51" t="s">
        <v>192</v>
      </c>
      <c r="D462" s="51" t="s">
        <v>308</v>
      </c>
      <c r="E462" s="51" t="s">
        <v>352</v>
      </c>
      <c r="F462" s="51" t="s">
        <v>341</v>
      </c>
      <c r="G462" s="52">
        <v>0.2864583333333334</v>
      </c>
      <c r="H462" s="52"/>
      <c r="I462" s="52">
        <v>0.2864583333333334</v>
      </c>
      <c r="J462" s="51" t="s">
        <v>342</v>
      </c>
    </row>
    <row r="463" ht="15.0" customHeight="1">
      <c r="A463" s="51">
        <v>80.0</v>
      </c>
      <c r="B463" s="51" t="s">
        <v>546</v>
      </c>
      <c r="C463" s="51" t="s">
        <v>192</v>
      </c>
      <c r="D463" s="51" t="s">
        <v>308</v>
      </c>
      <c r="E463" s="51" t="s">
        <v>353</v>
      </c>
      <c r="F463" s="51" t="s">
        <v>354</v>
      </c>
      <c r="G463" s="52">
        <v>12.359791666666668</v>
      </c>
      <c r="H463" s="52">
        <v>12.379791666666668</v>
      </c>
      <c r="I463" s="52">
        <v>12.369791666666668</v>
      </c>
      <c r="J463" s="51" t="s">
        <v>342</v>
      </c>
    </row>
    <row r="464" ht="15.0" customHeight="1">
      <c r="A464" s="51">
        <v>81.0</v>
      </c>
      <c r="B464" s="51" t="s">
        <v>573</v>
      </c>
      <c r="C464" s="51" t="s">
        <v>192</v>
      </c>
      <c r="D464" s="51" t="s">
        <v>308</v>
      </c>
      <c r="E464" s="51" t="s">
        <v>340</v>
      </c>
      <c r="F464" s="51" t="s">
        <v>345</v>
      </c>
      <c r="G464" s="52"/>
      <c r="H464" s="52">
        <v>0.62</v>
      </c>
      <c r="I464" s="52">
        <v>0.6228956228956228</v>
      </c>
      <c r="J464" s="51" t="s">
        <v>260</v>
      </c>
    </row>
    <row r="465" ht="15.0" customHeight="1">
      <c r="A465" s="51">
        <v>81.0</v>
      </c>
      <c r="B465" s="51" t="s">
        <v>573</v>
      </c>
      <c r="C465" s="51" t="s">
        <v>192</v>
      </c>
      <c r="D465" s="51" t="s">
        <v>308</v>
      </c>
      <c r="E465" s="51" t="s">
        <v>343</v>
      </c>
      <c r="F465" s="51" t="s">
        <v>354</v>
      </c>
      <c r="G465" s="52">
        <v>2.99</v>
      </c>
      <c r="H465" s="52">
        <v>3.01</v>
      </c>
      <c r="I465" s="52">
        <v>1.48</v>
      </c>
      <c r="J465" s="51" t="s">
        <v>260</v>
      </c>
    </row>
    <row r="466" ht="15.0" customHeight="1">
      <c r="A466" s="51">
        <v>81.0</v>
      </c>
      <c r="B466" s="51" t="s">
        <v>573</v>
      </c>
      <c r="C466" s="51" t="s">
        <v>192</v>
      </c>
      <c r="D466" s="51" t="s">
        <v>308</v>
      </c>
      <c r="E466" s="51" t="s">
        <v>344</v>
      </c>
      <c r="F466" s="51" t="s">
        <v>345</v>
      </c>
      <c r="G466" s="52"/>
      <c r="H466" s="52">
        <v>7.0</v>
      </c>
      <c r="I466" s="52">
        <v>7.0</v>
      </c>
      <c r="J466" s="51" t="s">
        <v>342</v>
      </c>
    </row>
    <row r="467" ht="15.0" customHeight="1">
      <c r="A467" s="51">
        <v>81.0</v>
      </c>
      <c r="B467" s="51" t="s">
        <v>573</v>
      </c>
      <c r="C467" s="51" t="s">
        <v>192</v>
      </c>
      <c r="D467" s="51" t="s">
        <v>308</v>
      </c>
      <c r="E467" s="51" t="s">
        <v>347</v>
      </c>
      <c r="F467" s="51" t="s">
        <v>341</v>
      </c>
      <c r="G467" s="52">
        <v>30.0</v>
      </c>
      <c r="H467" s="52"/>
      <c r="I467" s="52">
        <v>30.0</v>
      </c>
      <c r="J467" s="51" t="s">
        <v>342</v>
      </c>
    </row>
    <row r="468" ht="15.0" customHeight="1">
      <c r="A468" s="51">
        <v>81.0</v>
      </c>
      <c r="B468" s="51" t="s">
        <v>573</v>
      </c>
      <c r="C468" s="51" t="s">
        <v>192</v>
      </c>
      <c r="D468" s="51" t="s">
        <v>308</v>
      </c>
      <c r="E468" s="51" t="s">
        <v>351</v>
      </c>
      <c r="F468" s="51" t="s">
        <v>341</v>
      </c>
      <c r="G468" s="52">
        <v>65.65656565656566</v>
      </c>
      <c r="H468" s="52"/>
      <c r="I468" s="52">
        <v>65.65656565656566</v>
      </c>
      <c r="J468" s="51" t="s">
        <v>342</v>
      </c>
    </row>
    <row r="469" ht="15.0" customHeight="1">
      <c r="A469" s="51">
        <v>81.0</v>
      </c>
      <c r="B469" s="51" t="s">
        <v>573</v>
      </c>
      <c r="C469" s="51" t="s">
        <v>192</v>
      </c>
      <c r="D469" s="51" t="s">
        <v>308</v>
      </c>
      <c r="E469" s="51" t="s">
        <v>352</v>
      </c>
      <c r="F469" s="51" t="s">
        <v>345</v>
      </c>
      <c r="G469" s="52"/>
      <c r="H469" s="52">
        <v>0.42</v>
      </c>
      <c r="I469" s="52">
        <v>0.42087542087542085</v>
      </c>
      <c r="J469" s="51" t="s">
        <v>260</v>
      </c>
    </row>
    <row r="470" ht="15.0" customHeight="1">
      <c r="A470" s="51">
        <v>81.0</v>
      </c>
      <c r="B470" s="51" t="s">
        <v>573</v>
      </c>
      <c r="C470" s="51" t="s">
        <v>192</v>
      </c>
      <c r="D470" s="51" t="s">
        <v>308</v>
      </c>
      <c r="E470" s="51" t="s">
        <v>353</v>
      </c>
      <c r="F470" s="51" t="s">
        <v>354</v>
      </c>
      <c r="G470" s="52">
        <v>18.676868686868687</v>
      </c>
      <c r="H470" s="52">
        <v>18.69686868686869</v>
      </c>
      <c r="I470" s="52">
        <v>18.68686868686869</v>
      </c>
      <c r="J470" s="51" t="s">
        <v>342</v>
      </c>
    </row>
    <row r="471" ht="15.0" customHeight="1">
      <c r="A471" s="51">
        <v>82.0</v>
      </c>
      <c r="B471" s="51" t="s">
        <v>549</v>
      </c>
      <c r="C471" s="51" t="s">
        <v>192</v>
      </c>
      <c r="D471" s="51" t="s">
        <v>308</v>
      </c>
      <c r="E471" s="51" t="s">
        <v>340</v>
      </c>
      <c r="F471" s="51" t="s">
        <v>341</v>
      </c>
      <c r="G471" s="52">
        <v>0.8388157894736842</v>
      </c>
      <c r="H471" s="52"/>
      <c r="I471" s="52">
        <v>0.8388157894736842</v>
      </c>
      <c r="J471" s="51" t="s">
        <v>342</v>
      </c>
    </row>
    <row r="472" ht="15.0" customHeight="1">
      <c r="A472" s="51">
        <v>82.0</v>
      </c>
      <c r="B472" s="51" t="s">
        <v>549</v>
      </c>
      <c r="C472" s="51" t="s">
        <v>192</v>
      </c>
      <c r="D472" s="51" t="s">
        <v>308</v>
      </c>
      <c r="E472" s="51" t="s">
        <v>343</v>
      </c>
      <c r="F472" s="51" t="s">
        <v>341</v>
      </c>
      <c r="G472" s="52">
        <v>1.4571428571428573</v>
      </c>
      <c r="H472" s="52"/>
      <c r="I472" s="52">
        <v>1.4571428571428573</v>
      </c>
      <c r="J472" s="51" t="s">
        <v>342</v>
      </c>
    </row>
    <row r="473" ht="15.0" customHeight="1">
      <c r="A473" s="51">
        <v>82.0</v>
      </c>
      <c r="B473" s="51" t="s">
        <v>549</v>
      </c>
      <c r="C473" s="51" t="s">
        <v>192</v>
      </c>
      <c r="D473" s="51" t="s">
        <v>308</v>
      </c>
      <c r="E473" s="51" t="s">
        <v>344</v>
      </c>
      <c r="F473" s="51" t="s">
        <v>345</v>
      </c>
      <c r="G473" s="52"/>
      <c r="H473" s="52">
        <v>7.0</v>
      </c>
      <c r="I473" s="52">
        <v>7.0</v>
      </c>
      <c r="J473" s="51" t="s">
        <v>342</v>
      </c>
    </row>
    <row r="474" ht="15.0" customHeight="1">
      <c r="A474" s="51">
        <v>82.0</v>
      </c>
      <c r="B474" s="51" t="s">
        <v>549</v>
      </c>
      <c r="C474" s="51" t="s">
        <v>192</v>
      </c>
      <c r="D474" s="51" t="s">
        <v>308</v>
      </c>
      <c r="E474" s="51" t="s">
        <v>347</v>
      </c>
      <c r="F474" s="51" t="s">
        <v>341</v>
      </c>
      <c r="G474" s="52">
        <v>30.0</v>
      </c>
      <c r="H474" s="52"/>
      <c r="I474" s="52">
        <v>30.0</v>
      </c>
      <c r="J474" s="51" t="s">
        <v>342</v>
      </c>
    </row>
    <row r="475" ht="15.0" customHeight="1">
      <c r="A475" s="51">
        <v>82.0</v>
      </c>
      <c r="B475" s="51" t="s">
        <v>549</v>
      </c>
      <c r="C475" s="51" t="s">
        <v>192</v>
      </c>
      <c r="D475" s="51" t="s">
        <v>308</v>
      </c>
      <c r="E475" s="51" t="s">
        <v>351</v>
      </c>
      <c r="F475" s="51" t="s">
        <v>341</v>
      </c>
      <c r="G475" s="52">
        <v>78.94736842105263</v>
      </c>
      <c r="H475" s="52"/>
      <c r="I475" s="52">
        <v>78.94736842105263</v>
      </c>
      <c r="J475" s="51" t="s">
        <v>342</v>
      </c>
    </row>
    <row r="476" ht="15.0" customHeight="1">
      <c r="A476" s="51">
        <v>82.0</v>
      </c>
      <c r="B476" s="51" t="s">
        <v>549</v>
      </c>
      <c r="C476" s="51" t="s">
        <v>192</v>
      </c>
      <c r="D476" s="51" t="s">
        <v>308</v>
      </c>
      <c r="E476" s="51" t="s">
        <v>352</v>
      </c>
      <c r="F476" s="51" t="s">
        <v>341</v>
      </c>
      <c r="G476" s="52">
        <v>0.575657894736842</v>
      </c>
      <c r="H476" s="52"/>
      <c r="I476" s="52">
        <v>0.575657894736842</v>
      </c>
      <c r="J476" s="51" t="s">
        <v>342</v>
      </c>
    </row>
    <row r="477" ht="15.0" customHeight="1">
      <c r="A477" s="51">
        <v>82.0</v>
      </c>
      <c r="B477" s="51" t="s">
        <v>549</v>
      </c>
      <c r="C477" s="51" t="s">
        <v>192</v>
      </c>
      <c r="D477" s="51" t="s">
        <v>308</v>
      </c>
      <c r="E477" s="51" t="s">
        <v>353</v>
      </c>
      <c r="F477" s="51" t="s">
        <v>354</v>
      </c>
      <c r="G477" s="52">
        <v>24.332105263157892</v>
      </c>
      <c r="H477" s="52">
        <v>24.352105263157895</v>
      </c>
      <c r="I477" s="52">
        <v>24.342105263157894</v>
      </c>
      <c r="J477" s="51" t="s">
        <v>342</v>
      </c>
    </row>
    <row r="478" ht="15.0" customHeight="1">
      <c r="A478" s="51">
        <v>83.0</v>
      </c>
      <c r="B478" s="51" t="s">
        <v>550</v>
      </c>
      <c r="C478" s="51" t="s">
        <v>192</v>
      </c>
      <c r="D478" s="51" t="s">
        <v>308</v>
      </c>
      <c r="E478" s="51" t="s">
        <v>340</v>
      </c>
      <c r="F478" s="51" t="s">
        <v>341</v>
      </c>
      <c r="G478" s="52">
        <v>0.36082474226804123</v>
      </c>
      <c r="H478" s="52"/>
      <c r="I478" s="52">
        <v>0.36082474226804123</v>
      </c>
      <c r="J478" s="51" t="s">
        <v>342</v>
      </c>
    </row>
    <row r="479" ht="15.0" customHeight="1">
      <c r="A479" s="51">
        <v>83.0</v>
      </c>
      <c r="B479" s="51" t="s">
        <v>550</v>
      </c>
      <c r="C479" s="51" t="s">
        <v>192</v>
      </c>
      <c r="D479" s="51" t="s">
        <v>308</v>
      </c>
      <c r="E479" s="51" t="s">
        <v>343</v>
      </c>
      <c r="F479" s="51" t="s">
        <v>341</v>
      </c>
      <c r="G479" s="52">
        <v>1.2727272727272725</v>
      </c>
      <c r="H479" s="52"/>
      <c r="I479" s="52">
        <v>1.2727272727272725</v>
      </c>
      <c r="J479" s="51" t="s">
        <v>342</v>
      </c>
    </row>
    <row r="480" ht="15.0" customHeight="1">
      <c r="A480" s="51">
        <v>83.0</v>
      </c>
      <c r="B480" s="51" t="s">
        <v>550</v>
      </c>
      <c r="C480" s="51" t="s">
        <v>192</v>
      </c>
      <c r="D480" s="51" t="s">
        <v>308</v>
      </c>
      <c r="E480" s="51" t="s">
        <v>344</v>
      </c>
      <c r="F480" s="51" t="s">
        <v>345</v>
      </c>
      <c r="G480" s="52"/>
      <c r="H480" s="52">
        <v>7.0</v>
      </c>
      <c r="I480" s="52">
        <v>7.0</v>
      </c>
      <c r="J480" s="51" t="s">
        <v>342</v>
      </c>
    </row>
    <row r="481" ht="15.0" customHeight="1">
      <c r="A481" s="51">
        <v>83.0</v>
      </c>
      <c r="B481" s="51" t="s">
        <v>550</v>
      </c>
      <c r="C481" s="51" t="s">
        <v>192</v>
      </c>
      <c r="D481" s="51" t="s">
        <v>308</v>
      </c>
      <c r="E481" s="51" t="s">
        <v>347</v>
      </c>
      <c r="F481" s="51" t="s">
        <v>341</v>
      </c>
      <c r="G481" s="52">
        <v>30.0</v>
      </c>
      <c r="H481" s="52"/>
      <c r="I481" s="52">
        <v>30.0</v>
      </c>
      <c r="J481" s="51" t="s">
        <v>342</v>
      </c>
    </row>
    <row r="482" ht="15.0" customHeight="1">
      <c r="A482" s="51">
        <v>83.0</v>
      </c>
      <c r="B482" s="51" t="s">
        <v>550</v>
      </c>
      <c r="C482" s="51" t="s">
        <v>192</v>
      </c>
      <c r="D482" s="51" t="s">
        <v>308</v>
      </c>
      <c r="E482" s="51" t="s">
        <v>351</v>
      </c>
      <c r="F482" s="51" t="s">
        <v>341</v>
      </c>
      <c r="G482" s="52">
        <v>66.3659793814433</v>
      </c>
      <c r="H482" s="52"/>
      <c r="I482" s="52">
        <v>66.3659793814433</v>
      </c>
      <c r="J482" s="51" t="s">
        <v>342</v>
      </c>
    </row>
    <row r="483" ht="15.0" customHeight="1">
      <c r="A483" s="51">
        <v>83.0</v>
      </c>
      <c r="B483" s="51" t="s">
        <v>550</v>
      </c>
      <c r="C483" s="51" t="s">
        <v>192</v>
      </c>
      <c r="D483" s="51" t="s">
        <v>308</v>
      </c>
      <c r="E483" s="51" t="s">
        <v>352</v>
      </c>
      <c r="F483" s="51" t="s">
        <v>341</v>
      </c>
      <c r="G483" s="52">
        <v>0.2835051546391753</v>
      </c>
      <c r="H483" s="52"/>
      <c r="I483" s="52">
        <v>0.2835051546391753</v>
      </c>
      <c r="J483" s="51" t="s">
        <v>342</v>
      </c>
    </row>
    <row r="484" ht="15.0" customHeight="1">
      <c r="A484" s="51">
        <v>83.0</v>
      </c>
      <c r="B484" s="51" t="s">
        <v>550</v>
      </c>
      <c r="C484" s="51" t="s">
        <v>192</v>
      </c>
      <c r="D484" s="51" t="s">
        <v>308</v>
      </c>
      <c r="E484" s="51" t="s">
        <v>353</v>
      </c>
      <c r="F484" s="51" t="s">
        <v>354</v>
      </c>
      <c r="G484" s="52">
        <v>11.523505154639176</v>
      </c>
      <c r="H484" s="52">
        <v>11.543505154639176</v>
      </c>
      <c r="I484" s="52">
        <v>11.533505154639176</v>
      </c>
      <c r="J484" s="51" t="s">
        <v>342</v>
      </c>
    </row>
    <row r="485" ht="15.0" customHeight="1">
      <c r="A485" s="51">
        <v>84.0</v>
      </c>
      <c r="B485" s="51" t="s">
        <v>223</v>
      </c>
      <c r="C485" s="51" t="s">
        <v>192</v>
      </c>
      <c r="D485" s="51" t="s">
        <v>308</v>
      </c>
      <c r="E485" s="51" t="s">
        <v>340</v>
      </c>
      <c r="F485" s="51" t="s">
        <v>341</v>
      </c>
      <c r="G485" s="52">
        <v>0.6228956228956228</v>
      </c>
      <c r="H485" s="52"/>
      <c r="I485" s="52">
        <v>0.6228956228956228</v>
      </c>
      <c r="J485" s="51" t="s">
        <v>342</v>
      </c>
    </row>
    <row r="486" ht="15.0" customHeight="1">
      <c r="A486" s="51">
        <v>84.0</v>
      </c>
      <c r="B486" s="51" t="s">
        <v>223</v>
      </c>
      <c r="C486" s="51" t="s">
        <v>192</v>
      </c>
      <c r="D486" s="51" t="s">
        <v>308</v>
      </c>
      <c r="E486" s="51" t="s">
        <v>343</v>
      </c>
      <c r="F486" s="51" t="s">
        <v>341</v>
      </c>
      <c r="G486" s="52">
        <v>1.48</v>
      </c>
      <c r="H486" s="52"/>
      <c r="I486" s="52">
        <v>1.48</v>
      </c>
      <c r="J486" s="51" t="s">
        <v>342</v>
      </c>
    </row>
    <row r="487" ht="15.0" customHeight="1">
      <c r="A487" s="51">
        <v>84.0</v>
      </c>
      <c r="B487" s="51" t="s">
        <v>223</v>
      </c>
      <c r="C487" s="51" t="s">
        <v>192</v>
      </c>
      <c r="D487" s="51" t="s">
        <v>308</v>
      </c>
      <c r="E487" s="51" t="s">
        <v>344</v>
      </c>
      <c r="F487" s="51" t="s">
        <v>345</v>
      </c>
      <c r="G487" s="52"/>
      <c r="H487" s="52">
        <v>7.0</v>
      </c>
      <c r="I487" s="52">
        <v>7.0</v>
      </c>
      <c r="J487" s="51" t="s">
        <v>342</v>
      </c>
    </row>
    <row r="488" ht="15.0" customHeight="1">
      <c r="A488" s="51">
        <v>84.0</v>
      </c>
      <c r="B488" s="51" t="s">
        <v>223</v>
      </c>
      <c r="C488" s="51" t="s">
        <v>192</v>
      </c>
      <c r="D488" s="51" t="s">
        <v>308</v>
      </c>
      <c r="E488" s="51" t="s">
        <v>347</v>
      </c>
      <c r="F488" s="51" t="s">
        <v>341</v>
      </c>
      <c r="G488" s="52">
        <v>30.0</v>
      </c>
      <c r="H488" s="52"/>
      <c r="I488" s="52">
        <v>30.0</v>
      </c>
      <c r="J488" s="51" t="s">
        <v>342</v>
      </c>
    </row>
    <row r="489" ht="15.0" customHeight="1">
      <c r="A489" s="51">
        <v>84.0</v>
      </c>
      <c r="B489" s="51" t="s">
        <v>223</v>
      </c>
      <c r="C489" s="51" t="s">
        <v>192</v>
      </c>
      <c r="D489" s="51" t="s">
        <v>308</v>
      </c>
      <c r="E489" s="51" t="s">
        <v>351</v>
      </c>
      <c r="F489" s="51" t="s">
        <v>341</v>
      </c>
      <c r="G489" s="52">
        <v>65.65656565656566</v>
      </c>
      <c r="H489" s="52"/>
      <c r="I489" s="52">
        <v>65.65656565656566</v>
      </c>
      <c r="J489" s="51" t="s">
        <v>342</v>
      </c>
    </row>
    <row r="490" ht="15.0" customHeight="1">
      <c r="A490" s="51">
        <v>84.0</v>
      </c>
      <c r="B490" s="51" t="s">
        <v>223</v>
      </c>
      <c r="C490" s="51" t="s">
        <v>192</v>
      </c>
      <c r="D490" s="51" t="s">
        <v>308</v>
      </c>
      <c r="E490" s="51" t="s">
        <v>352</v>
      </c>
      <c r="F490" s="51" t="s">
        <v>341</v>
      </c>
      <c r="G490" s="52">
        <v>0.42087542087542085</v>
      </c>
      <c r="H490" s="52"/>
      <c r="I490" s="52">
        <v>0.42087542087542085</v>
      </c>
      <c r="J490" s="51" t="s">
        <v>342</v>
      </c>
    </row>
    <row r="491" ht="15.0" customHeight="1">
      <c r="A491" s="51">
        <v>84.0</v>
      </c>
      <c r="B491" s="51" t="s">
        <v>223</v>
      </c>
      <c r="C491" s="51" t="s">
        <v>192</v>
      </c>
      <c r="D491" s="51" t="s">
        <v>308</v>
      </c>
      <c r="E491" s="51" t="s">
        <v>353</v>
      </c>
      <c r="F491" s="51" t="s">
        <v>354</v>
      </c>
      <c r="G491" s="52">
        <v>18.676868686868687</v>
      </c>
      <c r="H491" s="52">
        <v>18.69686868686869</v>
      </c>
      <c r="I491" s="52">
        <v>18.68686868686869</v>
      </c>
      <c r="J491" s="51" t="s">
        <v>342</v>
      </c>
    </row>
    <row r="492" ht="15.0" customHeight="1">
      <c r="A492" s="51">
        <v>85.0</v>
      </c>
      <c r="B492" s="51" t="s">
        <v>227</v>
      </c>
      <c r="C492" s="51" t="s">
        <v>192</v>
      </c>
      <c r="D492" s="51" t="s">
        <v>308</v>
      </c>
      <c r="E492" s="51" t="s">
        <v>340</v>
      </c>
      <c r="F492" s="51" t="s">
        <v>341</v>
      </c>
      <c r="G492" s="52">
        <v>0.6228956228956228</v>
      </c>
      <c r="H492" s="52"/>
      <c r="I492" s="52">
        <v>0.6228956228956228</v>
      </c>
      <c r="J492" s="51" t="s">
        <v>342</v>
      </c>
    </row>
    <row r="493" ht="15.0" customHeight="1">
      <c r="A493" s="51">
        <v>85.0</v>
      </c>
      <c r="B493" s="51" t="s">
        <v>227</v>
      </c>
      <c r="C493" s="51" t="s">
        <v>192</v>
      </c>
      <c r="D493" s="51" t="s">
        <v>308</v>
      </c>
      <c r="E493" s="51" t="s">
        <v>343</v>
      </c>
      <c r="F493" s="51" t="s">
        <v>341</v>
      </c>
      <c r="G493" s="52">
        <v>1.48</v>
      </c>
      <c r="H493" s="52"/>
      <c r="I493" s="52">
        <v>1.48</v>
      </c>
      <c r="J493" s="51" t="s">
        <v>342</v>
      </c>
    </row>
    <row r="494" ht="15.0" customHeight="1">
      <c r="A494" s="51">
        <v>85.0</v>
      </c>
      <c r="B494" s="51" t="s">
        <v>227</v>
      </c>
      <c r="C494" s="51" t="s">
        <v>192</v>
      </c>
      <c r="D494" s="51" t="s">
        <v>308</v>
      </c>
      <c r="E494" s="51" t="s">
        <v>344</v>
      </c>
      <c r="F494" s="51" t="s">
        <v>345</v>
      </c>
      <c r="G494" s="52"/>
      <c r="H494" s="52">
        <v>7.0</v>
      </c>
      <c r="I494" s="52">
        <v>7.0</v>
      </c>
      <c r="J494" s="51" t="s">
        <v>342</v>
      </c>
    </row>
    <row r="495" ht="15.0" customHeight="1">
      <c r="A495" s="51">
        <v>85.0</v>
      </c>
      <c r="B495" s="51" t="s">
        <v>227</v>
      </c>
      <c r="C495" s="51" t="s">
        <v>192</v>
      </c>
      <c r="D495" s="51" t="s">
        <v>308</v>
      </c>
      <c r="E495" s="51" t="s">
        <v>347</v>
      </c>
      <c r="F495" s="51" t="s">
        <v>341</v>
      </c>
      <c r="G495" s="52">
        <v>30.0</v>
      </c>
      <c r="H495" s="52"/>
      <c r="I495" s="52">
        <v>30.0</v>
      </c>
      <c r="J495" s="51" t="s">
        <v>342</v>
      </c>
    </row>
    <row r="496" ht="15.0" customHeight="1">
      <c r="A496" s="51">
        <v>85.0</v>
      </c>
      <c r="B496" s="51" t="s">
        <v>227</v>
      </c>
      <c r="C496" s="51" t="s">
        <v>192</v>
      </c>
      <c r="D496" s="51" t="s">
        <v>308</v>
      </c>
      <c r="E496" s="51" t="s">
        <v>351</v>
      </c>
      <c r="F496" s="51" t="s">
        <v>341</v>
      </c>
      <c r="G496" s="52">
        <v>65.65656565656566</v>
      </c>
      <c r="H496" s="52"/>
      <c r="I496" s="52">
        <v>65.65656565656566</v>
      </c>
      <c r="J496" s="51" t="s">
        <v>342</v>
      </c>
    </row>
    <row r="497" ht="15.0" customHeight="1">
      <c r="A497" s="51">
        <v>85.0</v>
      </c>
      <c r="B497" s="51" t="s">
        <v>227</v>
      </c>
      <c r="C497" s="51" t="s">
        <v>192</v>
      </c>
      <c r="D497" s="51" t="s">
        <v>308</v>
      </c>
      <c r="E497" s="51" t="s">
        <v>352</v>
      </c>
      <c r="F497" s="51" t="s">
        <v>341</v>
      </c>
      <c r="G497" s="52">
        <v>0.42087542087542085</v>
      </c>
      <c r="H497" s="52"/>
      <c r="I497" s="52">
        <v>0.42087542087542085</v>
      </c>
      <c r="J497" s="51" t="s">
        <v>342</v>
      </c>
    </row>
    <row r="498" ht="15.0" customHeight="1">
      <c r="A498" s="51">
        <v>85.0</v>
      </c>
      <c r="B498" s="51" t="s">
        <v>227</v>
      </c>
      <c r="C498" s="51" t="s">
        <v>192</v>
      </c>
      <c r="D498" s="51" t="s">
        <v>308</v>
      </c>
      <c r="E498" s="51" t="s">
        <v>353</v>
      </c>
      <c r="F498" s="51" t="s">
        <v>354</v>
      </c>
      <c r="G498" s="52">
        <v>18.676868686868687</v>
      </c>
      <c r="H498" s="52">
        <v>18.69686868686869</v>
      </c>
      <c r="I498" s="52">
        <v>18.68686868686869</v>
      </c>
      <c r="J498" s="51" t="s">
        <v>342</v>
      </c>
    </row>
    <row r="499" ht="15.0" customHeight="1">
      <c r="A499" s="51">
        <v>86.0</v>
      </c>
      <c r="B499" s="51" t="s">
        <v>231</v>
      </c>
      <c r="C499" s="51" t="s">
        <v>192</v>
      </c>
      <c r="D499" s="51" t="s">
        <v>308</v>
      </c>
      <c r="E499" s="51" t="s">
        <v>340</v>
      </c>
      <c r="F499" s="51" t="s">
        <v>341</v>
      </c>
      <c r="G499" s="52">
        <v>0.6228956228956228</v>
      </c>
      <c r="H499" s="52"/>
      <c r="I499" s="52">
        <v>0.6228956228956228</v>
      </c>
      <c r="J499" s="51" t="s">
        <v>342</v>
      </c>
    </row>
    <row r="500" ht="15.0" customHeight="1">
      <c r="A500" s="51">
        <v>86.0</v>
      </c>
      <c r="B500" s="51" t="s">
        <v>231</v>
      </c>
      <c r="C500" s="51" t="s">
        <v>192</v>
      </c>
      <c r="D500" s="51" t="s">
        <v>308</v>
      </c>
      <c r="E500" s="51" t="s">
        <v>343</v>
      </c>
      <c r="F500" s="51" t="s">
        <v>341</v>
      </c>
      <c r="G500" s="52">
        <v>1.48</v>
      </c>
      <c r="H500" s="52"/>
      <c r="I500" s="52">
        <v>1.48</v>
      </c>
      <c r="J500" s="51" t="s">
        <v>342</v>
      </c>
    </row>
    <row r="501" ht="15.0" customHeight="1">
      <c r="A501" s="51">
        <v>86.0</v>
      </c>
      <c r="B501" s="51" t="s">
        <v>231</v>
      </c>
      <c r="C501" s="51" t="s">
        <v>192</v>
      </c>
      <c r="D501" s="51" t="s">
        <v>308</v>
      </c>
      <c r="E501" s="51" t="s">
        <v>344</v>
      </c>
      <c r="F501" s="51" t="s">
        <v>345</v>
      </c>
      <c r="G501" s="52"/>
      <c r="H501" s="52">
        <v>7.0</v>
      </c>
      <c r="I501" s="52">
        <v>7.0</v>
      </c>
      <c r="J501" s="51" t="s">
        <v>342</v>
      </c>
    </row>
    <row r="502" ht="15.0" customHeight="1">
      <c r="A502" s="51">
        <v>86.0</v>
      </c>
      <c r="B502" s="51" t="s">
        <v>231</v>
      </c>
      <c r="C502" s="51" t="s">
        <v>192</v>
      </c>
      <c r="D502" s="51" t="s">
        <v>308</v>
      </c>
      <c r="E502" s="51" t="s">
        <v>347</v>
      </c>
      <c r="F502" s="51" t="s">
        <v>341</v>
      </c>
      <c r="G502" s="52">
        <v>30.0</v>
      </c>
      <c r="H502" s="52"/>
      <c r="I502" s="52">
        <v>30.0</v>
      </c>
      <c r="J502" s="51" t="s">
        <v>342</v>
      </c>
    </row>
    <row r="503" ht="15.0" customHeight="1">
      <c r="A503" s="51">
        <v>86.0</v>
      </c>
      <c r="B503" s="51" t="s">
        <v>231</v>
      </c>
      <c r="C503" s="51" t="s">
        <v>192</v>
      </c>
      <c r="D503" s="51" t="s">
        <v>308</v>
      </c>
      <c r="E503" s="51" t="s">
        <v>351</v>
      </c>
      <c r="F503" s="51" t="s">
        <v>341</v>
      </c>
      <c r="G503" s="52">
        <v>65.65656565656566</v>
      </c>
      <c r="H503" s="52"/>
      <c r="I503" s="52">
        <v>65.65656565656566</v>
      </c>
      <c r="J503" s="51" t="s">
        <v>342</v>
      </c>
    </row>
    <row r="504" ht="15.0" customHeight="1">
      <c r="A504" s="51">
        <v>86.0</v>
      </c>
      <c r="B504" s="51" t="s">
        <v>231</v>
      </c>
      <c r="C504" s="51" t="s">
        <v>192</v>
      </c>
      <c r="D504" s="51" t="s">
        <v>308</v>
      </c>
      <c r="E504" s="51" t="s">
        <v>352</v>
      </c>
      <c r="F504" s="51" t="s">
        <v>341</v>
      </c>
      <c r="G504" s="52">
        <v>0.42087542087542085</v>
      </c>
      <c r="H504" s="52"/>
      <c r="I504" s="52">
        <v>0.42087542087542085</v>
      </c>
      <c r="J504" s="51" t="s">
        <v>342</v>
      </c>
    </row>
    <row r="505" ht="15.0" customHeight="1">
      <c r="A505" s="51">
        <v>86.0</v>
      </c>
      <c r="B505" s="51" t="s">
        <v>231</v>
      </c>
      <c r="C505" s="51" t="s">
        <v>192</v>
      </c>
      <c r="D505" s="51" t="s">
        <v>308</v>
      </c>
      <c r="E505" s="51" t="s">
        <v>353</v>
      </c>
      <c r="F505" s="51" t="s">
        <v>354</v>
      </c>
      <c r="G505" s="52">
        <v>18.68</v>
      </c>
      <c r="H505" s="52">
        <v>18.700000000000003</v>
      </c>
      <c r="I505" s="52">
        <v>18.68686868686869</v>
      </c>
      <c r="J505" s="51" t="s">
        <v>260</v>
      </c>
    </row>
    <row r="506" ht="15.0" customHeight="1">
      <c r="A506" s="51">
        <v>87.0</v>
      </c>
      <c r="B506" s="51" t="s">
        <v>234</v>
      </c>
      <c r="C506" s="51" t="s">
        <v>192</v>
      </c>
      <c r="D506" s="51" t="s">
        <v>308</v>
      </c>
      <c r="E506" s="51" t="s">
        <v>340</v>
      </c>
      <c r="F506" s="51" t="s">
        <v>341</v>
      </c>
      <c r="G506" s="52">
        <v>0.6228956228956228</v>
      </c>
      <c r="H506" s="52"/>
      <c r="I506" s="52">
        <v>0.6228956228956228</v>
      </c>
      <c r="J506" s="51" t="s">
        <v>342</v>
      </c>
    </row>
    <row r="507" ht="15.0" customHeight="1">
      <c r="A507" s="51">
        <v>87.0</v>
      </c>
      <c r="B507" s="51" t="s">
        <v>234</v>
      </c>
      <c r="C507" s="51" t="s">
        <v>192</v>
      </c>
      <c r="D507" s="51" t="s">
        <v>308</v>
      </c>
      <c r="E507" s="51" t="s">
        <v>343</v>
      </c>
      <c r="F507" s="51" t="s">
        <v>341</v>
      </c>
      <c r="G507" s="52">
        <v>1.48</v>
      </c>
      <c r="H507" s="52"/>
      <c r="I507" s="52">
        <v>1.48</v>
      </c>
      <c r="J507" s="51" t="s">
        <v>342</v>
      </c>
    </row>
    <row r="508" ht="15.0" customHeight="1">
      <c r="A508" s="51">
        <v>87.0</v>
      </c>
      <c r="B508" s="51" t="s">
        <v>234</v>
      </c>
      <c r="C508" s="51" t="s">
        <v>192</v>
      </c>
      <c r="D508" s="51" t="s">
        <v>308</v>
      </c>
      <c r="E508" s="51" t="s">
        <v>344</v>
      </c>
      <c r="F508" s="51" t="s">
        <v>345</v>
      </c>
      <c r="G508" s="52"/>
      <c r="H508" s="52">
        <v>7.0</v>
      </c>
      <c r="I508" s="52">
        <v>7.0</v>
      </c>
      <c r="J508" s="51" t="s">
        <v>342</v>
      </c>
    </row>
    <row r="509" ht="15.0" customHeight="1">
      <c r="A509" s="51">
        <v>87.0</v>
      </c>
      <c r="B509" s="51" t="s">
        <v>234</v>
      </c>
      <c r="C509" s="51" t="s">
        <v>192</v>
      </c>
      <c r="D509" s="51" t="s">
        <v>308</v>
      </c>
      <c r="E509" s="51" t="s">
        <v>347</v>
      </c>
      <c r="F509" s="51" t="s">
        <v>341</v>
      </c>
      <c r="G509" s="52">
        <v>30.0</v>
      </c>
      <c r="H509" s="52"/>
      <c r="I509" s="52">
        <v>30.0</v>
      </c>
      <c r="J509" s="51" t="s">
        <v>342</v>
      </c>
    </row>
    <row r="510" ht="15.0" customHeight="1">
      <c r="A510" s="51">
        <v>87.0</v>
      </c>
      <c r="B510" s="51" t="s">
        <v>234</v>
      </c>
      <c r="C510" s="51" t="s">
        <v>192</v>
      </c>
      <c r="D510" s="51" t="s">
        <v>308</v>
      </c>
      <c r="E510" s="51" t="s">
        <v>351</v>
      </c>
      <c r="F510" s="51" t="s">
        <v>341</v>
      </c>
      <c r="G510" s="52">
        <v>65.65656565656566</v>
      </c>
      <c r="H510" s="52"/>
      <c r="I510" s="52">
        <v>65.65656565656566</v>
      </c>
      <c r="J510" s="51" t="s">
        <v>342</v>
      </c>
    </row>
    <row r="511" ht="15.0" customHeight="1">
      <c r="A511" s="51">
        <v>87.0</v>
      </c>
      <c r="B511" s="51" t="s">
        <v>234</v>
      </c>
      <c r="C511" s="51" t="s">
        <v>192</v>
      </c>
      <c r="D511" s="51" t="s">
        <v>308</v>
      </c>
      <c r="E511" s="51" t="s">
        <v>352</v>
      </c>
      <c r="F511" s="51" t="s">
        <v>341</v>
      </c>
      <c r="G511" s="52">
        <v>0.42087542087542085</v>
      </c>
      <c r="H511" s="52"/>
      <c r="I511" s="52">
        <v>0.42087542087542085</v>
      </c>
      <c r="J511" s="51" t="s">
        <v>342</v>
      </c>
    </row>
    <row r="512" ht="15.0" customHeight="1">
      <c r="A512" s="51">
        <v>87.0</v>
      </c>
      <c r="B512" s="51" t="s">
        <v>234</v>
      </c>
      <c r="C512" s="51" t="s">
        <v>192</v>
      </c>
      <c r="D512" s="51" t="s">
        <v>308</v>
      </c>
      <c r="E512" s="51" t="s">
        <v>353</v>
      </c>
      <c r="F512" s="51" t="s">
        <v>354</v>
      </c>
      <c r="G512" s="52">
        <v>18.68</v>
      </c>
      <c r="H512" s="52">
        <v>18.700000000000003</v>
      </c>
      <c r="I512" s="52">
        <v>18.68686868686869</v>
      </c>
      <c r="J512" s="51" t="s">
        <v>260</v>
      </c>
    </row>
    <row r="513" ht="15.0" customHeight="1">
      <c r="A513" s="51">
        <v>88.0</v>
      </c>
      <c r="B513" s="51" t="s">
        <v>237</v>
      </c>
      <c r="C513" s="51" t="s">
        <v>192</v>
      </c>
      <c r="D513" s="51" t="s">
        <v>308</v>
      </c>
      <c r="E513" s="51" t="s">
        <v>340</v>
      </c>
      <c r="F513" s="51" t="s">
        <v>341</v>
      </c>
      <c r="G513" s="52">
        <v>0.3859060402684563</v>
      </c>
      <c r="H513" s="52"/>
      <c r="I513" s="52">
        <v>0.3859060402684563</v>
      </c>
      <c r="J513" s="51" t="s">
        <v>342</v>
      </c>
    </row>
    <row r="514" ht="15.0" customHeight="1">
      <c r="A514" s="51">
        <v>88.0</v>
      </c>
      <c r="B514" s="51" t="s">
        <v>237</v>
      </c>
      <c r="C514" s="51" t="s">
        <v>192</v>
      </c>
      <c r="D514" s="51" t="s">
        <v>308</v>
      </c>
      <c r="E514" s="51" t="s">
        <v>343</v>
      </c>
      <c r="F514" s="51" t="s">
        <v>341</v>
      </c>
      <c r="G514" s="52">
        <v>1.5333333333333332</v>
      </c>
      <c r="H514" s="52"/>
      <c r="I514" s="52">
        <v>1.5333333333333332</v>
      </c>
      <c r="J514" s="51" t="s">
        <v>342</v>
      </c>
    </row>
    <row r="515" ht="15.0" customHeight="1">
      <c r="A515" s="51">
        <v>88.0</v>
      </c>
      <c r="B515" s="51" t="s">
        <v>237</v>
      </c>
      <c r="C515" s="51" t="s">
        <v>192</v>
      </c>
      <c r="D515" s="51" t="s">
        <v>308</v>
      </c>
      <c r="E515" s="51" t="s">
        <v>344</v>
      </c>
      <c r="F515" s="51" t="s">
        <v>345</v>
      </c>
      <c r="G515" s="52"/>
      <c r="H515" s="52">
        <v>7.0</v>
      </c>
      <c r="I515" s="52">
        <v>7.0</v>
      </c>
      <c r="J515" s="51" t="s">
        <v>342</v>
      </c>
    </row>
    <row r="516" ht="15.0" customHeight="1">
      <c r="A516" s="51">
        <v>88.0</v>
      </c>
      <c r="B516" s="51" t="s">
        <v>237</v>
      </c>
      <c r="C516" s="51" t="s">
        <v>192</v>
      </c>
      <c r="D516" s="51" t="s">
        <v>308</v>
      </c>
      <c r="E516" s="51" t="s">
        <v>347</v>
      </c>
      <c r="F516" s="51" t="s">
        <v>341</v>
      </c>
      <c r="G516" s="52">
        <v>30.0</v>
      </c>
      <c r="H516" s="52"/>
      <c r="I516" s="52">
        <v>30.0</v>
      </c>
      <c r="J516" s="51" t="s">
        <v>342</v>
      </c>
    </row>
    <row r="517" ht="15.0" customHeight="1">
      <c r="A517" s="51">
        <v>88.0</v>
      </c>
      <c r="B517" s="51" t="s">
        <v>237</v>
      </c>
      <c r="C517" s="51" t="s">
        <v>192</v>
      </c>
      <c r="D517" s="51" t="s">
        <v>308</v>
      </c>
      <c r="E517" s="51" t="s">
        <v>351</v>
      </c>
      <c r="F517" s="51" t="s">
        <v>341</v>
      </c>
      <c r="G517" s="52">
        <v>53.691275167785236</v>
      </c>
      <c r="H517" s="52"/>
      <c r="I517" s="52">
        <v>53.691275167785236</v>
      </c>
      <c r="J517" s="51" t="s">
        <v>342</v>
      </c>
    </row>
    <row r="518" ht="15.0" customHeight="1">
      <c r="A518" s="51">
        <v>88.0</v>
      </c>
      <c r="B518" s="51" t="s">
        <v>237</v>
      </c>
      <c r="C518" s="51" t="s">
        <v>192</v>
      </c>
      <c r="D518" s="51" t="s">
        <v>308</v>
      </c>
      <c r="E518" s="51" t="s">
        <v>352</v>
      </c>
      <c r="F518" s="51" t="s">
        <v>341</v>
      </c>
      <c r="G518" s="52">
        <v>0.25167785234899326</v>
      </c>
      <c r="H518" s="52"/>
      <c r="I518" s="52">
        <v>0.25167785234899326</v>
      </c>
      <c r="J518" s="51" t="s">
        <v>342</v>
      </c>
    </row>
    <row r="519" ht="15.0" customHeight="1">
      <c r="A519" s="51">
        <v>88.0</v>
      </c>
      <c r="B519" s="51" t="s">
        <v>237</v>
      </c>
      <c r="C519" s="51" t="s">
        <v>192</v>
      </c>
      <c r="D519" s="51" t="s">
        <v>308</v>
      </c>
      <c r="E519" s="51" t="s">
        <v>353</v>
      </c>
      <c r="F519" s="51" t="s">
        <v>354</v>
      </c>
      <c r="G519" s="52">
        <v>12.406107382550337</v>
      </c>
      <c r="H519" s="52">
        <v>12.426107382550336</v>
      </c>
      <c r="I519" s="52">
        <v>12.416107382550337</v>
      </c>
      <c r="J519" s="51" t="s">
        <v>342</v>
      </c>
    </row>
    <row r="520" ht="15.0" customHeight="1">
      <c r="A520" s="51">
        <v>89.0</v>
      </c>
      <c r="B520" s="51" t="s">
        <v>250</v>
      </c>
      <c r="C520" s="51" t="s">
        <v>192</v>
      </c>
      <c r="D520" s="51" t="s">
        <v>308</v>
      </c>
      <c r="E520" s="51" t="s">
        <v>340</v>
      </c>
      <c r="F520" s="51" t="s">
        <v>341</v>
      </c>
      <c r="G520" s="52">
        <v>0.6228956228956228</v>
      </c>
      <c r="H520" s="52"/>
      <c r="I520" s="52">
        <v>0.6228956228956228</v>
      </c>
      <c r="J520" s="51" t="s">
        <v>342</v>
      </c>
    </row>
    <row r="521" ht="15.0" customHeight="1">
      <c r="A521" s="51">
        <v>89.0</v>
      </c>
      <c r="B521" s="51" t="s">
        <v>250</v>
      </c>
      <c r="C521" s="51" t="s">
        <v>192</v>
      </c>
      <c r="D521" s="51" t="s">
        <v>308</v>
      </c>
      <c r="E521" s="51" t="s">
        <v>343</v>
      </c>
      <c r="F521" s="51" t="s">
        <v>341</v>
      </c>
      <c r="G521" s="52">
        <v>1.48</v>
      </c>
      <c r="H521" s="52"/>
      <c r="I521" s="52">
        <v>1.48</v>
      </c>
      <c r="J521" s="51" t="s">
        <v>342</v>
      </c>
    </row>
    <row r="522" ht="15.0" customHeight="1">
      <c r="A522" s="51">
        <v>89.0</v>
      </c>
      <c r="B522" s="51" t="s">
        <v>250</v>
      </c>
      <c r="C522" s="51" t="s">
        <v>192</v>
      </c>
      <c r="D522" s="51" t="s">
        <v>308</v>
      </c>
      <c r="E522" s="51" t="s">
        <v>344</v>
      </c>
      <c r="F522" s="51" t="s">
        <v>345</v>
      </c>
      <c r="G522" s="52"/>
      <c r="H522" s="52">
        <v>7.0</v>
      </c>
      <c r="I522" s="52">
        <v>7.0</v>
      </c>
      <c r="J522" s="51" t="s">
        <v>342</v>
      </c>
    </row>
    <row r="523" ht="15.0" customHeight="1">
      <c r="A523" s="51">
        <v>89.0</v>
      </c>
      <c r="B523" s="51" t="s">
        <v>250</v>
      </c>
      <c r="C523" s="51" t="s">
        <v>192</v>
      </c>
      <c r="D523" s="51" t="s">
        <v>308</v>
      </c>
      <c r="E523" s="51" t="s">
        <v>347</v>
      </c>
      <c r="F523" s="51" t="s">
        <v>341</v>
      </c>
      <c r="G523" s="52">
        <v>30.0</v>
      </c>
      <c r="H523" s="52"/>
      <c r="I523" s="52">
        <v>30.0</v>
      </c>
      <c r="J523" s="51" t="s">
        <v>342</v>
      </c>
    </row>
    <row r="524" ht="15.0" customHeight="1">
      <c r="A524" s="51">
        <v>89.0</v>
      </c>
      <c r="B524" s="51" t="s">
        <v>250</v>
      </c>
      <c r="C524" s="51" t="s">
        <v>192</v>
      </c>
      <c r="D524" s="51" t="s">
        <v>308</v>
      </c>
      <c r="E524" s="51" t="s">
        <v>351</v>
      </c>
      <c r="F524" s="51" t="s">
        <v>341</v>
      </c>
      <c r="G524" s="52">
        <v>65.65656565656566</v>
      </c>
      <c r="H524" s="52"/>
      <c r="I524" s="52">
        <v>65.65656565656566</v>
      </c>
      <c r="J524" s="51" t="s">
        <v>342</v>
      </c>
    </row>
    <row r="525" ht="15.0" customHeight="1">
      <c r="A525" s="51">
        <v>89.0</v>
      </c>
      <c r="B525" s="51" t="s">
        <v>250</v>
      </c>
      <c r="C525" s="51" t="s">
        <v>192</v>
      </c>
      <c r="D525" s="51" t="s">
        <v>308</v>
      </c>
      <c r="E525" s="51" t="s">
        <v>352</v>
      </c>
      <c r="F525" s="51" t="s">
        <v>341</v>
      </c>
      <c r="G525" s="52">
        <v>0.42087542087542085</v>
      </c>
      <c r="H525" s="52"/>
      <c r="I525" s="52">
        <v>0.42087542087542085</v>
      </c>
      <c r="J525" s="51" t="s">
        <v>342</v>
      </c>
    </row>
    <row r="526" ht="15.0" customHeight="1">
      <c r="A526" s="51">
        <v>89.0</v>
      </c>
      <c r="B526" s="51" t="s">
        <v>250</v>
      </c>
      <c r="C526" s="51" t="s">
        <v>192</v>
      </c>
      <c r="D526" s="51" t="s">
        <v>308</v>
      </c>
      <c r="E526" s="51" t="s">
        <v>353</v>
      </c>
      <c r="F526" s="51" t="s">
        <v>354</v>
      </c>
      <c r="G526" s="52">
        <v>18.676868686868687</v>
      </c>
      <c r="H526" s="52">
        <v>18.69686868686869</v>
      </c>
      <c r="I526" s="52">
        <v>18.68686868686869</v>
      </c>
      <c r="J526" s="51" t="s">
        <v>342</v>
      </c>
    </row>
    <row r="527" ht="15.0" customHeight="1">
      <c r="A527" s="51">
        <v>90.0</v>
      </c>
      <c r="B527" s="51" t="s">
        <v>560</v>
      </c>
      <c r="C527" s="51" t="s">
        <v>192</v>
      </c>
      <c r="D527" s="51" t="s">
        <v>308</v>
      </c>
      <c r="E527" s="51" t="s">
        <v>340</v>
      </c>
      <c r="F527" s="51" t="s">
        <v>341</v>
      </c>
      <c r="G527" s="52">
        <v>0.4042081949058694</v>
      </c>
      <c r="H527" s="52"/>
      <c r="I527" s="52">
        <v>0.4042081949058694</v>
      </c>
      <c r="J527" s="51" t="s">
        <v>342</v>
      </c>
    </row>
    <row r="528" ht="15.0" customHeight="1">
      <c r="A528" s="51">
        <v>90.0</v>
      </c>
      <c r="B528" s="51" t="s">
        <v>560</v>
      </c>
      <c r="C528" s="51" t="s">
        <v>192</v>
      </c>
      <c r="D528" s="51" t="s">
        <v>308</v>
      </c>
      <c r="E528" s="51" t="s">
        <v>343</v>
      </c>
      <c r="F528" s="51" t="s">
        <v>341</v>
      </c>
      <c r="G528" s="52">
        <v>1.1587301587301588</v>
      </c>
      <c r="H528" s="52"/>
      <c r="I528" s="52">
        <v>1.1587301587301588</v>
      </c>
      <c r="J528" s="51" t="s">
        <v>342</v>
      </c>
    </row>
    <row r="529" ht="15.0" customHeight="1">
      <c r="A529" s="51">
        <v>90.0</v>
      </c>
      <c r="B529" s="51" t="s">
        <v>560</v>
      </c>
      <c r="C529" s="51" t="s">
        <v>192</v>
      </c>
      <c r="D529" s="51" t="s">
        <v>308</v>
      </c>
      <c r="E529" s="51" t="s">
        <v>344</v>
      </c>
      <c r="F529" s="51" t="s">
        <v>345</v>
      </c>
      <c r="G529" s="52"/>
      <c r="H529" s="52">
        <v>7.0</v>
      </c>
      <c r="I529" s="52">
        <v>7.0</v>
      </c>
      <c r="J529" s="51" t="s">
        <v>342</v>
      </c>
    </row>
    <row r="530" ht="15.0" customHeight="1">
      <c r="A530" s="51">
        <v>90.0</v>
      </c>
      <c r="B530" s="51" t="s">
        <v>560</v>
      </c>
      <c r="C530" s="51" t="s">
        <v>192</v>
      </c>
      <c r="D530" s="51" t="s">
        <v>308</v>
      </c>
      <c r="E530" s="51" t="s">
        <v>347</v>
      </c>
      <c r="F530" s="51" t="s">
        <v>341</v>
      </c>
      <c r="G530" s="52">
        <v>30.0</v>
      </c>
      <c r="H530" s="52"/>
      <c r="I530" s="52">
        <v>30.0</v>
      </c>
      <c r="J530" s="51" t="s">
        <v>342</v>
      </c>
    </row>
    <row r="531" ht="15.0" customHeight="1">
      <c r="A531" s="51">
        <v>90.0</v>
      </c>
      <c r="B531" s="51" t="s">
        <v>560</v>
      </c>
      <c r="C531" s="51" t="s">
        <v>192</v>
      </c>
      <c r="D531" s="51" t="s">
        <v>308</v>
      </c>
      <c r="E531" s="51" t="s">
        <v>351</v>
      </c>
      <c r="F531" s="51" t="s">
        <v>341</v>
      </c>
      <c r="G531" s="52">
        <v>66.44518272425249</v>
      </c>
      <c r="H531" s="52"/>
      <c r="I531" s="52">
        <v>66.44518272425249</v>
      </c>
      <c r="J531" s="51" t="s">
        <v>342</v>
      </c>
    </row>
    <row r="532" ht="15.0" customHeight="1">
      <c r="A532" s="51">
        <v>90.0</v>
      </c>
      <c r="B532" s="51" t="s">
        <v>560</v>
      </c>
      <c r="C532" s="51" t="s">
        <v>192</v>
      </c>
      <c r="D532" s="51" t="s">
        <v>308</v>
      </c>
      <c r="E532" s="51" t="s">
        <v>352</v>
      </c>
      <c r="F532" s="51" t="s">
        <v>341</v>
      </c>
      <c r="G532" s="52">
        <v>0.34883720930232565</v>
      </c>
      <c r="H532" s="52"/>
      <c r="I532" s="52">
        <v>0.34883720930232565</v>
      </c>
      <c r="J532" s="51" t="s">
        <v>342</v>
      </c>
    </row>
    <row r="533" ht="15.0" customHeight="1">
      <c r="A533" s="51">
        <v>90.0</v>
      </c>
      <c r="B533" s="51" t="s">
        <v>560</v>
      </c>
      <c r="C533" s="51" t="s">
        <v>192</v>
      </c>
      <c r="D533" s="51" t="s">
        <v>308</v>
      </c>
      <c r="E533" s="51" t="s">
        <v>353</v>
      </c>
      <c r="F533" s="51" t="s">
        <v>354</v>
      </c>
      <c r="G533" s="52">
        <v>14.829424141749724</v>
      </c>
      <c r="H533" s="52">
        <v>14.849424141749724</v>
      </c>
      <c r="I533" s="52">
        <v>14.839424141749724</v>
      </c>
      <c r="J533" s="51" t="s">
        <v>342</v>
      </c>
    </row>
    <row r="534" ht="15.0" customHeight="1">
      <c r="A534" s="51">
        <v>91.0</v>
      </c>
      <c r="B534" s="51" t="s">
        <v>261</v>
      </c>
      <c r="C534" s="51" t="s">
        <v>192</v>
      </c>
      <c r="D534" s="51" t="s">
        <v>308</v>
      </c>
      <c r="E534" s="51" t="s">
        <v>340</v>
      </c>
      <c r="F534" s="51" t="s">
        <v>341</v>
      </c>
      <c r="G534" s="52">
        <v>0.6228956228956228</v>
      </c>
      <c r="H534" s="52"/>
      <c r="I534" s="52">
        <v>0.6228956228956228</v>
      </c>
      <c r="J534" s="51" t="s">
        <v>342</v>
      </c>
    </row>
    <row r="535" ht="15.0" customHeight="1">
      <c r="A535" s="51">
        <v>91.0</v>
      </c>
      <c r="B535" s="51" t="s">
        <v>261</v>
      </c>
      <c r="C535" s="51" t="s">
        <v>192</v>
      </c>
      <c r="D535" s="51" t="s">
        <v>308</v>
      </c>
      <c r="E535" s="51" t="s">
        <v>343</v>
      </c>
      <c r="F535" s="51" t="s">
        <v>341</v>
      </c>
      <c r="G535" s="52">
        <v>3.0</v>
      </c>
      <c r="H535" s="52"/>
      <c r="I535" s="52">
        <v>1.48</v>
      </c>
      <c r="J535" s="51" t="s">
        <v>260</v>
      </c>
    </row>
    <row r="536" ht="15.0" customHeight="1">
      <c r="A536" s="51">
        <v>91.0</v>
      </c>
      <c r="B536" s="51" t="s">
        <v>261</v>
      </c>
      <c r="C536" s="51" t="s">
        <v>192</v>
      </c>
      <c r="D536" s="51" t="s">
        <v>308</v>
      </c>
      <c r="E536" s="51" t="s">
        <v>344</v>
      </c>
      <c r="F536" s="51" t="s">
        <v>345</v>
      </c>
      <c r="G536" s="52"/>
      <c r="H536" s="52">
        <v>7.0</v>
      </c>
      <c r="I536" s="52">
        <v>7.0</v>
      </c>
      <c r="J536" s="51" t="s">
        <v>342</v>
      </c>
    </row>
    <row r="537" ht="15.0" customHeight="1">
      <c r="A537" s="51">
        <v>91.0</v>
      </c>
      <c r="B537" s="51" t="s">
        <v>261</v>
      </c>
      <c r="C537" s="51" t="s">
        <v>192</v>
      </c>
      <c r="D537" s="51" t="s">
        <v>308</v>
      </c>
      <c r="E537" s="51" t="s">
        <v>347</v>
      </c>
      <c r="F537" s="51" t="s">
        <v>341</v>
      </c>
      <c r="G537" s="52">
        <v>30.0</v>
      </c>
      <c r="H537" s="52"/>
      <c r="I537" s="52">
        <v>30.0</v>
      </c>
      <c r="J537" s="51" t="s">
        <v>342</v>
      </c>
    </row>
    <row r="538" ht="15.0" customHeight="1">
      <c r="A538" s="51">
        <v>91.0</v>
      </c>
      <c r="B538" s="51" t="s">
        <v>261</v>
      </c>
      <c r="C538" s="51" t="s">
        <v>192</v>
      </c>
      <c r="D538" s="51" t="s">
        <v>308</v>
      </c>
      <c r="E538" s="51" t="s">
        <v>351</v>
      </c>
      <c r="F538" s="51" t="s">
        <v>341</v>
      </c>
      <c r="G538" s="52">
        <v>65.65656565656566</v>
      </c>
      <c r="H538" s="52"/>
      <c r="I538" s="52">
        <v>65.65656565656566</v>
      </c>
      <c r="J538" s="51" t="s">
        <v>342</v>
      </c>
    </row>
    <row r="539" ht="15.0" customHeight="1">
      <c r="A539" s="51">
        <v>91.0</v>
      </c>
      <c r="B539" s="51" t="s">
        <v>261</v>
      </c>
      <c r="C539" s="51" t="s">
        <v>192</v>
      </c>
      <c r="D539" s="51" t="s">
        <v>308</v>
      </c>
      <c r="E539" s="51" t="s">
        <v>352</v>
      </c>
      <c r="F539" s="51" t="s">
        <v>341</v>
      </c>
      <c r="G539" s="52">
        <v>0.42087542087542085</v>
      </c>
      <c r="H539" s="52"/>
      <c r="I539" s="52">
        <v>0.42087542087542085</v>
      </c>
      <c r="J539" s="51" t="s">
        <v>342</v>
      </c>
    </row>
    <row r="540" ht="15.0" customHeight="1">
      <c r="A540" s="51">
        <v>91.0</v>
      </c>
      <c r="B540" s="51" t="s">
        <v>261</v>
      </c>
      <c r="C540" s="51" t="s">
        <v>192</v>
      </c>
      <c r="D540" s="51" t="s">
        <v>308</v>
      </c>
      <c r="E540" s="51" t="s">
        <v>353</v>
      </c>
      <c r="F540" s="51" t="s">
        <v>354</v>
      </c>
      <c r="G540" s="52">
        <v>18.676868686868687</v>
      </c>
      <c r="H540" s="52">
        <v>18.69686868686869</v>
      </c>
      <c r="I540" s="52">
        <v>18.68686868686869</v>
      </c>
      <c r="J540" s="51" t="s">
        <v>342</v>
      </c>
    </row>
    <row r="541" ht="15.0" customHeight="1">
      <c r="A541" s="51">
        <v>92.0</v>
      </c>
      <c r="B541" s="51" t="s">
        <v>267</v>
      </c>
      <c r="C541" s="51" t="s">
        <v>192</v>
      </c>
      <c r="D541" s="51" t="s">
        <v>308</v>
      </c>
      <c r="E541" s="51" t="s">
        <v>340</v>
      </c>
      <c r="F541" s="51" t="s">
        <v>341</v>
      </c>
      <c r="G541" s="52">
        <v>0.6228956228956228</v>
      </c>
      <c r="H541" s="52"/>
      <c r="I541" s="52">
        <v>0.6228956228956228</v>
      </c>
      <c r="J541" s="51" t="s">
        <v>342</v>
      </c>
    </row>
    <row r="542" ht="15.0" customHeight="1">
      <c r="A542" s="51">
        <v>92.0</v>
      </c>
      <c r="B542" s="51" t="s">
        <v>267</v>
      </c>
      <c r="C542" s="51" t="s">
        <v>192</v>
      </c>
      <c r="D542" s="51" t="s">
        <v>308</v>
      </c>
      <c r="E542" s="51" t="s">
        <v>343</v>
      </c>
      <c r="F542" s="51" t="s">
        <v>341</v>
      </c>
      <c r="G542" s="52">
        <v>1.48</v>
      </c>
      <c r="H542" s="52"/>
      <c r="I542" s="52">
        <v>1.48</v>
      </c>
      <c r="J542" s="51" t="s">
        <v>342</v>
      </c>
    </row>
    <row r="543" ht="15.0" customHeight="1">
      <c r="A543" s="51">
        <v>92.0</v>
      </c>
      <c r="B543" s="51" t="s">
        <v>267</v>
      </c>
      <c r="C543" s="51" t="s">
        <v>192</v>
      </c>
      <c r="D543" s="51" t="s">
        <v>308</v>
      </c>
      <c r="E543" s="51" t="s">
        <v>344</v>
      </c>
      <c r="F543" s="51" t="s">
        <v>345</v>
      </c>
      <c r="G543" s="52"/>
      <c r="H543" s="52">
        <v>7.0</v>
      </c>
      <c r="I543" s="52">
        <v>7.0</v>
      </c>
      <c r="J543" s="51" t="s">
        <v>342</v>
      </c>
    </row>
    <row r="544" ht="15.0" customHeight="1">
      <c r="A544" s="51">
        <v>92.0</v>
      </c>
      <c r="B544" s="51" t="s">
        <v>267</v>
      </c>
      <c r="C544" s="51" t="s">
        <v>192</v>
      </c>
      <c r="D544" s="51" t="s">
        <v>308</v>
      </c>
      <c r="E544" s="51" t="s">
        <v>347</v>
      </c>
      <c r="F544" s="51" t="s">
        <v>341</v>
      </c>
      <c r="G544" s="52">
        <v>30.0</v>
      </c>
      <c r="H544" s="52"/>
      <c r="I544" s="52">
        <v>30.0</v>
      </c>
      <c r="J544" s="51" t="s">
        <v>342</v>
      </c>
    </row>
    <row r="545" ht="15.0" customHeight="1">
      <c r="A545" s="51">
        <v>92.0</v>
      </c>
      <c r="B545" s="51" t="s">
        <v>267</v>
      </c>
      <c r="C545" s="51" t="s">
        <v>192</v>
      </c>
      <c r="D545" s="51" t="s">
        <v>308</v>
      </c>
      <c r="E545" s="51" t="s">
        <v>351</v>
      </c>
      <c r="F545" s="51" t="s">
        <v>341</v>
      </c>
      <c r="G545" s="52">
        <v>65.65656565656566</v>
      </c>
      <c r="H545" s="52"/>
      <c r="I545" s="52">
        <v>65.65656565656566</v>
      </c>
      <c r="J545" s="51" t="s">
        <v>342</v>
      </c>
    </row>
    <row r="546" ht="15.0" customHeight="1">
      <c r="A546" s="51">
        <v>92.0</v>
      </c>
      <c r="B546" s="51" t="s">
        <v>267</v>
      </c>
      <c r="C546" s="51" t="s">
        <v>192</v>
      </c>
      <c r="D546" s="51" t="s">
        <v>308</v>
      </c>
      <c r="E546" s="51" t="s">
        <v>352</v>
      </c>
      <c r="F546" s="51" t="s">
        <v>341</v>
      </c>
      <c r="G546" s="52">
        <v>0.42087542087542085</v>
      </c>
      <c r="H546" s="52"/>
      <c r="I546" s="52">
        <v>0.42087542087542085</v>
      </c>
      <c r="J546" s="51" t="s">
        <v>342</v>
      </c>
    </row>
    <row r="547" ht="15.0" customHeight="1">
      <c r="A547" s="51">
        <v>92.0</v>
      </c>
      <c r="B547" s="51" t="s">
        <v>267</v>
      </c>
      <c r="C547" s="51" t="s">
        <v>192</v>
      </c>
      <c r="D547" s="51" t="s">
        <v>308</v>
      </c>
      <c r="E547" s="51" t="s">
        <v>353</v>
      </c>
      <c r="F547" s="51" t="s">
        <v>354</v>
      </c>
      <c r="G547" s="52">
        <v>18.676868686868687</v>
      </c>
      <c r="H547" s="52">
        <v>18.69686868686869</v>
      </c>
      <c r="I547" s="52">
        <v>18.68686868686869</v>
      </c>
      <c r="J547" s="51" t="s">
        <v>342</v>
      </c>
    </row>
    <row r="548" ht="15.0" customHeight="1">
      <c r="A548" s="51">
        <v>93.0</v>
      </c>
      <c r="B548" s="51" t="s">
        <v>566</v>
      </c>
      <c r="C548" s="51" t="s">
        <v>192</v>
      </c>
      <c r="D548" s="51" t="s">
        <v>308</v>
      </c>
      <c r="E548" s="51" t="s">
        <v>340</v>
      </c>
      <c r="F548" s="51" t="s">
        <v>341</v>
      </c>
      <c r="G548" s="52">
        <v>0.6228956228956228</v>
      </c>
      <c r="H548" s="52"/>
      <c r="I548" s="52">
        <v>0.6228956228956228</v>
      </c>
      <c r="J548" s="51" t="s">
        <v>342</v>
      </c>
    </row>
    <row r="549" ht="15.0" customHeight="1">
      <c r="A549" s="51">
        <v>93.0</v>
      </c>
      <c r="B549" s="51" t="s">
        <v>566</v>
      </c>
      <c r="C549" s="51" t="s">
        <v>192</v>
      </c>
      <c r="D549" s="51" t="s">
        <v>308</v>
      </c>
      <c r="E549" s="51" t="s">
        <v>343</v>
      </c>
      <c r="F549" s="51" t="s">
        <v>341</v>
      </c>
      <c r="G549" s="52">
        <v>1.48</v>
      </c>
      <c r="H549" s="52"/>
      <c r="I549" s="52">
        <v>1.48</v>
      </c>
      <c r="J549" s="51" t="s">
        <v>342</v>
      </c>
    </row>
    <row r="550" ht="15.0" customHeight="1">
      <c r="A550" s="51">
        <v>93.0</v>
      </c>
      <c r="B550" s="51" t="s">
        <v>566</v>
      </c>
      <c r="C550" s="51" t="s">
        <v>192</v>
      </c>
      <c r="D550" s="51" t="s">
        <v>308</v>
      </c>
      <c r="E550" s="51" t="s">
        <v>344</v>
      </c>
      <c r="F550" s="51" t="s">
        <v>345</v>
      </c>
      <c r="G550" s="52"/>
      <c r="H550" s="52">
        <v>7.0</v>
      </c>
      <c r="I550" s="52">
        <v>7.0</v>
      </c>
      <c r="J550" s="51" t="s">
        <v>342</v>
      </c>
    </row>
    <row r="551" ht="15.0" customHeight="1">
      <c r="A551" s="51">
        <v>93.0</v>
      </c>
      <c r="B551" s="51" t="s">
        <v>566</v>
      </c>
      <c r="C551" s="51" t="s">
        <v>192</v>
      </c>
      <c r="D551" s="51" t="s">
        <v>308</v>
      </c>
      <c r="E551" s="51" t="s">
        <v>347</v>
      </c>
      <c r="F551" s="51" t="s">
        <v>341</v>
      </c>
      <c r="G551" s="52">
        <v>30.0</v>
      </c>
      <c r="H551" s="52"/>
      <c r="I551" s="52">
        <v>30.0</v>
      </c>
      <c r="J551" s="51" t="s">
        <v>342</v>
      </c>
    </row>
    <row r="552" ht="15.0" customHeight="1">
      <c r="A552" s="51">
        <v>93.0</v>
      </c>
      <c r="B552" s="51" t="s">
        <v>566</v>
      </c>
      <c r="C552" s="51" t="s">
        <v>192</v>
      </c>
      <c r="D552" s="51" t="s">
        <v>308</v>
      </c>
      <c r="E552" s="51" t="s">
        <v>351</v>
      </c>
      <c r="F552" s="51" t="s">
        <v>341</v>
      </c>
      <c r="G552" s="52">
        <v>65.65656565656566</v>
      </c>
      <c r="H552" s="52"/>
      <c r="I552" s="52">
        <v>65.65656565656566</v>
      </c>
      <c r="J552" s="51" t="s">
        <v>342</v>
      </c>
    </row>
    <row r="553" ht="15.0" customHeight="1">
      <c r="A553" s="51">
        <v>93.0</v>
      </c>
      <c r="B553" s="51" t="s">
        <v>566</v>
      </c>
      <c r="C553" s="51" t="s">
        <v>192</v>
      </c>
      <c r="D553" s="51" t="s">
        <v>308</v>
      </c>
      <c r="E553" s="51" t="s">
        <v>352</v>
      </c>
      <c r="F553" s="51" t="s">
        <v>341</v>
      </c>
      <c r="G553" s="52">
        <v>0.42087542087542085</v>
      </c>
      <c r="H553" s="52"/>
      <c r="I553" s="52">
        <v>0.42087542087542085</v>
      </c>
      <c r="J553" s="51" t="s">
        <v>342</v>
      </c>
    </row>
    <row r="554" ht="15.0" customHeight="1">
      <c r="A554" s="51">
        <v>93.0</v>
      </c>
      <c r="B554" s="51" t="s">
        <v>566</v>
      </c>
      <c r="C554" s="51" t="s">
        <v>192</v>
      </c>
      <c r="D554" s="51" t="s">
        <v>308</v>
      </c>
      <c r="E554" s="51" t="s">
        <v>353</v>
      </c>
      <c r="F554" s="51" t="s">
        <v>354</v>
      </c>
      <c r="G554" s="52">
        <v>18.676868686868687</v>
      </c>
      <c r="H554" s="52">
        <v>18.69686868686869</v>
      </c>
      <c r="I554" s="52">
        <v>18.68686868686869</v>
      </c>
      <c r="J554" s="51" t="s">
        <v>342</v>
      </c>
    </row>
    <row r="555" ht="15.0" customHeight="1">
      <c r="A555" s="51">
        <v>94.0</v>
      </c>
      <c r="B555" s="51" t="s">
        <v>569</v>
      </c>
      <c r="C555" s="51" t="s">
        <v>192</v>
      </c>
      <c r="D555" s="51" t="s">
        <v>308</v>
      </c>
      <c r="E555" s="51" t="s">
        <v>340</v>
      </c>
      <c r="F555" s="51" t="s">
        <v>341</v>
      </c>
      <c r="G555" s="52">
        <v>0.48166392993979207</v>
      </c>
      <c r="H555" s="52"/>
      <c r="I555" s="52">
        <v>0.48166392993979207</v>
      </c>
      <c r="J555" s="51" t="s">
        <v>342</v>
      </c>
    </row>
    <row r="556" ht="15.0" customHeight="1">
      <c r="A556" s="51">
        <v>94.0</v>
      </c>
      <c r="B556" s="51" t="s">
        <v>569</v>
      </c>
      <c r="C556" s="51" t="s">
        <v>192</v>
      </c>
      <c r="D556" s="51" t="s">
        <v>308</v>
      </c>
      <c r="E556" s="51" t="s">
        <v>343</v>
      </c>
      <c r="F556" s="51" t="s">
        <v>341</v>
      </c>
      <c r="G556" s="52">
        <v>1.6603773584905663</v>
      </c>
      <c r="H556" s="52"/>
      <c r="I556" s="52">
        <v>1.6603773584905663</v>
      </c>
      <c r="J556" s="51" t="s">
        <v>342</v>
      </c>
    </row>
    <row r="557" ht="15.0" customHeight="1">
      <c r="A557" s="51">
        <v>94.0</v>
      </c>
      <c r="B557" s="51" t="s">
        <v>569</v>
      </c>
      <c r="C557" s="51" t="s">
        <v>192</v>
      </c>
      <c r="D557" s="51" t="s">
        <v>308</v>
      </c>
      <c r="E557" s="51" t="s">
        <v>344</v>
      </c>
      <c r="F557" s="51" t="s">
        <v>345</v>
      </c>
      <c r="G557" s="52"/>
      <c r="H557" s="52">
        <v>7.0</v>
      </c>
      <c r="I557" s="52">
        <v>7.0</v>
      </c>
      <c r="J557" s="51" t="s">
        <v>342</v>
      </c>
    </row>
    <row r="558" ht="15.0" customHeight="1">
      <c r="A558" s="51">
        <v>94.0</v>
      </c>
      <c r="B558" s="51" t="s">
        <v>569</v>
      </c>
      <c r="C558" s="51" t="s">
        <v>192</v>
      </c>
      <c r="D558" s="51" t="s">
        <v>308</v>
      </c>
      <c r="E558" s="51" t="s">
        <v>347</v>
      </c>
      <c r="F558" s="51" t="s">
        <v>341</v>
      </c>
      <c r="G558" s="52">
        <v>30.0</v>
      </c>
      <c r="H558" s="52"/>
      <c r="I558" s="52">
        <v>30.0</v>
      </c>
      <c r="J558" s="51" t="s">
        <v>342</v>
      </c>
    </row>
    <row r="559" ht="15.0" customHeight="1">
      <c r="A559" s="51">
        <v>94.0</v>
      </c>
      <c r="B559" s="51" t="s">
        <v>569</v>
      </c>
      <c r="C559" s="51" t="s">
        <v>192</v>
      </c>
      <c r="D559" s="51" t="s">
        <v>308</v>
      </c>
      <c r="E559" s="51" t="s">
        <v>351</v>
      </c>
      <c r="F559" s="51" t="s">
        <v>341</v>
      </c>
      <c r="G559" s="52">
        <v>66.2287903667214</v>
      </c>
      <c r="H559" s="52"/>
      <c r="I559" s="52">
        <v>66.2287903667214</v>
      </c>
      <c r="J559" s="51" t="s">
        <v>342</v>
      </c>
    </row>
    <row r="560" ht="15.0" customHeight="1">
      <c r="A560" s="51">
        <v>94.0</v>
      </c>
      <c r="B560" s="51" t="s">
        <v>569</v>
      </c>
      <c r="C560" s="51" t="s">
        <v>192</v>
      </c>
      <c r="D560" s="51" t="s">
        <v>308</v>
      </c>
      <c r="E560" s="51" t="s">
        <v>352</v>
      </c>
      <c r="F560" s="51" t="s">
        <v>341</v>
      </c>
      <c r="G560" s="52">
        <v>0.29009304871373837</v>
      </c>
      <c r="H560" s="52"/>
      <c r="I560" s="52">
        <v>0.29009304871373837</v>
      </c>
      <c r="J560" s="51" t="s">
        <v>342</v>
      </c>
    </row>
    <row r="561" ht="15.0" customHeight="1">
      <c r="A561" s="51">
        <v>94.0</v>
      </c>
      <c r="B561" s="51" t="s">
        <v>569</v>
      </c>
      <c r="C561" s="51" t="s">
        <v>192</v>
      </c>
      <c r="D561" s="51" t="s">
        <v>308</v>
      </c>
      <c r="E561" s="51" t="s">
        <v>353</v>
      </c>
      <c r="F561" s="51" t="s">
        <v>354</v>
      </c>
      <c r="G561" s="52">
        <v>10.006420361247947</v>
      </c>
      <c r="H561" s="52">
        <v>10.026420361247947</v>
      </c>
      <c r="I561" s="52">
        <v>10.016420361247947</v>
      </c>
      <c r="J561" s="51" t="s">
        <v>342</v>
      </c>
    </row>
    <row r="562" ht="15.0" customHeight="1">
      <c r="A562" s="51">
        <v>95.0</v>
      </c>
      <c r="B562" s="51" t="s">
        <v>571</v>
      </c>
      <c r="C562" s="51" t="s">
        <v>192</v>
      </c>
      <c r="D562" s="51" t="s">
        <v>308</v>
      </c>
      <c r="E562" s="51" t="s">
        <v>340</v>
      </c>
      <c r="F562" s="51" t="s">
        <v>341</v>
      </c>
      <c r="G562" s="52">
        <v>0.3987884906612822</v>
      </c>
      <c r="H562" s="52"/>
      <c r="I562" s="52">
        <v>0.3987884906612822</v>
      </c>
      <c r="J562" s="51" t="s">
        <v>342</v>
      </c>
    </row>
    <row r="563" ht="15.0" customHeight="1">
      <c r="A563" s="51">
        <v>95.0</v>
      </c>
      <c r="B563" s="51" t="s">
        <v>571</v>
      </c>
      <c r="C563" s="51" t="s">
        <v>192</v>
      </c>
      <c r="D563" s="51" t="s">
        <v>308</v>
      </c>
      <c r="E563" s="51" t="s">
        <v>343</v>
      </c>
      <c r="F563" s="51" t="s">
        <v>341</v>
      </c>
      <c r="G563" s="52">
        <v>1.144927536231884</v>
      </c>
      <c r="H563" s="52"/>
      <c r="I563" s="52">
        <v>1.144927536231884</v>
      </c>
      <c r="J563" s="51" t="s">
        <v>342</v>
      </c>
    </row>
    <row r="564" ht="15.0" customHeight="1">
      <c r="A564" s="51">
        <v>95.0</v>
      </c>
      <c r="B564" s="51" t="s">
        <v>571</v>
      </c>
      <c r="C564" s="51" t="s">
        <v>192</v>
      </c>
      <c r="D564" s="51" t="s">
        <v>308</v>
      </c>
      <c r="E564" s="51" t="s">
        <v>344</v>
      </c>
      <c r="F564" s="51" t="s">
        <v>345</v>
      </c>
      <c r="G564" s="52"/>
      <c r="H564" s="52">
        <v>7.0</v>
      </c>
      <c r="I564" s="52">
        <v>7.0</v>
      </c>
      <c r="J564" s="51" t="s">
        <v>342</v>
      </c>
    </row>
    <row r="565" ht="15.0" customHeight="1">
      <c r="A565" s="51">
        <v>95.0</v>
      </c>
      <c r="B565" s="51" t="s">
        <v>571</v>
      </c>
      <c r="C565" s="51" t="s">
        <v>192</v>
      </c>
      <c r="D565" s="51" t="s">
        <v>308</v>
      </c>
      <c r="E565" s="51" t="s">
        <v>347</v>
      </c>
      <c r="F565" s="51" t="s">
        <v>341</v>
      </c>
      <c r="G565" s="52">
        <v>30.0</v>
      </c>
      <c r="H565" s="52"/>
      <c r="I565" s="52">
        <v>30.0</v>
      </c>
      <c r="J565" s="51" t="s">
        <v>342</v>
      </c>
    </row>
    <row r="566" ht="15.0" customHeight="1">
      <c r="A566" s="51">
        <v>95.0</v>
      </c>
      <c r="B566" s="51" t="s">
        <v>571</v>
      </c>
      <c r="C566" s="51" t="s">
        <v>192</v>
      </c>
      <c r="D566" s="51" t="s">
        <v>308</v>
      </c>
      <c r="E566" s="51" t="s">
        <v>351</v>
      </c>
      <c r="F566" s="51" t="s">
        <v>341</v>
      </c>
      <c r="G566" s="52">
        <v>66.12821807168096</v>
      </c>
      <c r="H566" s="52"/>
      <c r="I566" s="52">
        <v>66.12821807168096</v>
      </c>
      <c r="J566" s="51" t="s">
        <v>342</v>
      </c>
    </row>
    <row r="567" ht="15.0" customHeight="1">
      <c r="A567" s="51">
        <v>95.0</v>
      </c>
      <c r="B567" s="51" t="s">
        <v>571</v>
      </c>
      <c r="C567" s="51" t="s">
        <v>192</v>
      </c>
      <c r="D567" s="51" t="s">
        <v>308</v>
      </c>
      <c r="E567" s="51" t="s">
        <v>352</v>
      </c>
      <c r="F567" s="51" t="s">
        <v>341</v>
      </c>
      <c r="G567" s="52">
        <v>0.34830893488137304</v>
      </c>
      <c r="H567" s="52"/>
      <c r="I567" s="52">
        <v>0.34830893488137304</v>
      </c>
      <c r="J567" s="51" t="s">
        <v>342</v>
      </c>
    </row>
    <row r="568" ht="15.0" customHeight="1">
      <c r="A568" s="51">
        <v>95.0</v>
      </c>
      <c r="B568" s="51" t="s">
        <v>571</v>
      </c>
      <c r="C568" s="51" t="s">
        <v>192</v>
      </c>
      <c r="D568" s="51" t="s">
        <v>308</v>
      </c>
      <c r="E568" s="51" t="s">
        <v>353</v>
      </c>
      <c r="F568" s="51" t="s">
        <v>354</v>
      </c>
      <c r="G568" s="52">
        <v>14.730030287733468</v>
      </c>
      <c r="H568" s="52">
        <v>14.750030287733468</v>
      </c>
      <c r="I568" s="52">
        <v>14.740030287733468</v>
      </c>
      <c r="J568" s="51" t="s">
        <v>342</v>
      </c>
    </row>
    <row r="569" ht="15.0" customHeight="1">
      <c r="A569" s="51">
        <v>96.0</v>
      </c>
      <c r="B569" s="51" t="s">
        <v>573</v>
      </c>
      <c r="C569" s="51" t="s">
        <v>192</v>
      </c>
      <c r="D569" s="51" t="s">
        <v>308</v>
      </c>
      <c r="E569" s="51" t="s">
        <v>340</v>
      </c>
      <c r="F569" s="51" t="s">
        <v>341</v>
      </c>
      <c r="G569" s="52">
        <v>0.6228956228956228</v>
      </c>
      <c r="H569" s="52"/>
      <c r="I569" s="52">
        <v>0.6228956228956228</v>
      </c>
      <c r="J569" s="51" t="s">
        <v>342</v>
      </c>
    </row>
    <row r="570" ht="15.0" customHeight="1">
      <c r="A570" s="51">
        <v>96.0</v>
      </c>
      <c r="B570" s="51" t="s">
        <v>573</v>
      </c>
      <c r="C570" s="51" t="s">
        <v>192</v>
      </c>
      <c r="D570" s="51" t="s">
        <v>308</v>
      </c>
      <c r="E570" s="51" t="s">
        <v>343</v>
      </c>
      <c r="F570" s="51" t="s">
        <v>341</v>
      </c>
      <c r="G570" s="52">
        <v>1.48</v>
      </c>
      <c r="H570" s="52"/>
      <c r="I570" s="52">
        <v>1.48</v>
      </c>
      <c r="J570" s="51" t="s">
        <v>342</v>
      </c>
    </row>
    <row r="571" ht="15.0" customHeight="1">
      <c r="A571" s="51">
        <v>96.0</v>
      </c>
      <c r="B571" s="51" t="s">
        <v>573</v>
      </c>
      <c r="C571" s="51" t="s">
        <v>192</v>
      </c>
      <c r="D571" s="51" t="s">
        <v>308</v>
      </c>
      <c r="E571" s="51" t="s">
        <v>344</v>
      </c>
      <c r="F571" s="51" t="s">
        <v>345</v>
      </c>
      <c r="G571" s="52"/>
      <c r="H571" s="52">
        <v>7.0</v>
      </c>
      <c r="I571" s="52">
        <v>7.0</v>
      </c>
      <c r="J571" s="51" t="s">
        <v>342</v>
      </c>
    </row>
    <row r="572" ht="15.0" customHeight="1">
      <c r="A572" s="51">
        <v>96.0</v>
      </c>
      <c r="B572" s="51" t="s">
        <v>573</v>
      </c>
      <c r="C572" s="51" t="s">
        <v>192</v>
      </c>
      <c r="D572" s="51" t="s">
        <v>308</v>
      </c>
      <c r="E572" s="51" t="s">
        <v>347</v>
      </c>
      <c r="F572" s="51" t="s">
        <v>341</v>
      </c>
      <c r="G572" s="52">
        <v>30.0</v>
      </c>
      <c r="H572" s="52"/>
      <c r="I572" s="52">
        <v>30.0</v>
      </c>
      <c r="J572" s="51" t="s">
        <v>342</v>
      </c>
    </row>
    <row r="573" ht="15.0" customHeight="1">
      <c r="A573" s="51">
        <v>96.0</v>
      </c>
      <c r="B573" s="51" t="s">
        <v>573</v>
      </c>
      <c r="C573" s="51" t="s">
        <v>192</v>
      </c>
      <c r="D573" s="51" t="s">
        <v>308</v>
      </c>
      <c r="E573" s="51" t="s">
        <v>351</v>
      </c>
      <c r="F573" s="51" t="s">
        <v>341</v>
      </c>
      <c r="G573" s="52">
        <v>65.65656565656566</v>
      </c>
      <c r="H573" s="52"/>
      <c r="I573" s="52">
        <v>65.65656565656566</v>
      </c>
      <c r="J573" s="51" t="s">
        <v>342</v>
      </c>
    </row>
    <row r="574" ht="15.0" customHeight="1">
      <c r="A574" s="51">
        <v>96.0</v>
      </c>
      <c r="B574" s="51" t="s">
        <v>573</v>
      </c>
      <c r="C574" s="51" t="s">
        <v>192</v>
      </c>
      <c r="D574" s="51" t="s">
        <v>308</v>
      </c>
      <c r="E574" s="51" t="s">
        <v>352</v>
      </c>
      <c r="F574" s="51" t="s">
        <v>341</v>
      </c>
      <c r="G574" s="52">
        <v>0.42087542087542085</v>
      </c>
      <c r="H574" s="52"/>
      <c r="I574" s="52">
        <v>0.42087542087542085</v>
      </c>
      <c r="J574" s="51" t="s">
        <v>342</v>
      </c>
    </row>
    <row r="575" ht="15.0" customHeight="1">
      <c r="A575" s="51">
        <v>96.0</v>
      </c>
      <c r="B575" s="51" t="s">
        <v>573</v>
      </c>
      <c r="C575" s="51" t="s">
        <v>192</v>
      </c>
      <c r="D575" s="51" t="s">
        <v>308</v>
      </c>
      <c r="E575" s="51" t="s">
        <v>353</v>
      </c>
      <c r="F575" s="51" t="s">
        <v>354</v>
      </c>
      <c r="G575" s="52">
        <v>18.676868686868687</v>
      </c>
      <c r="H575" s="52">
        <v>18.69686868686869</v>
      </c>
      <c r="I575" s="52">
        <v>18.68686868686869</v>
      </c>
      <c r="J575" s="51" t="s">
        <v>342</v>
      </c>
    </row>
    <row r="576" ht="15.0" customHeight="1">
      <c r="A576" s="51">
        <v>97.0</v>
      </c>
      <c r="B576" s="51" t="s">
        <v>575</v>
      </c>
      <c r="C576" s="51" t="s">
        <v>192</v>
      </c>
      <c r="D576" s="51" t="s">
        <v>308</v>
      </c>
      <c r="E576" s="51" t="s">
        <v>340</v>
      </c>
      <c r="F576" s="51" t="s">
        <v>341</v>
      </c>
      <c r="G576" s="52">
        <v>0.6228956228956228</v>
      </c>
      <c r="H576" s="52"/>
      <c r="I576" s="52">
        <v>0.6228956228956228</v>
      </c>
      <c r="J576" s="51" t="s">
        <v>342</v>
      </c>
    </row>
    <row r="577" ht="15.0" customHeight="1">
      <c r="A577" s="51">
        <v>97.0</v>
      </c>
      <c r="B577" s="51" t="s">
        <v>575</v>
      </c>
      <c r="C577" s="51" t="s">
        <v>192</v>
      </c>
      <c r="D577" s="51" t="s">
        <v>308</v>
      </c>
      <c r="E577" s="51" t="s">
        <v>343</v>
      </c>
      <c r="F577" s="51" t="s">
        <v>341</v>
      </c>
      <c r="G577" s="52">
        <v>1.48</v>
      </c>
      <c r="H577" s="52"/>
      <c r="I577" s="52">
        <v>1.48</v>
      </c>
      <c r="J577" s="51" t="s">
        <v>342</v>
      </c>
    </row>
    <row r="578" ht="15.0" customHeight="1">
      <c r="A578" s="51">
        <v>97.0</v>
      </c>
      <c r="B578" s="51" t="s">
        <v>575</v>
      </c>
      <c r="C578" s="51" t="s">
        <v>192</v>
      </c>
      <c r="D578" s="51" t="s">
        <v>308</v>
      </c>
      <c r="E578" s="51" t="s">
        <v>344</v>
      </c>
      <c r="F578" s="51" t="s">
        <v>345</v>
      </c>
      <c r="G578" s="52"/>
      <c r="H578" s="52">
        <v>7.0</v>
      </c>
      <c r="I578" s="52">
        <v>7.0</v>
      </c>
      <c r="J578" s="51" t="s">
        <v>342</v>
      </c>
    </row>
    <row r="579" ht="15.0" customHeight="1">
      <c r="A579" s="51">
        <v>97.0</v>
      </c>
      <c r="B579" s="51" t="s">
        <v>575</v>
      </c>
      <c r="C579" s="51" t="s">
        <v>192</v>
      </c>
      <c r="D579" s="51" t="s">
        <v>308</v>
      </c>
      <c r="E579" s="51" t="s">
        <v>347</v>
      </c>
      <c r="F579" s="51" t="s">
        <v>341</v>
      </c>
      <c r="G579" s="52">
        <v>30.0</v>
      </c>
      <c r="H579" s="52"/>
      <c r="I579" s="52">
        <v>30.0</v>
      </c>
      <c r="J579" s="51" t="s">
        <v>342</v>
      </c>
    </row>
    <row r="580" ht="15.0" customHeight="1">
      <c r="A580" s="51">
        <v>97.0</v>
      </c>
      <c r="B580" s="51" t="s">
        <v>575</v>
      </c>
      <c r="C580" s="51" t="s">
        <v>192</v>
      </c>
      <c r="D580" s="51" t="s">
        <v>308</v>
      </c>
      <c r="E580" s="51" t="s">
        <v>351</v>
      </c>
      <c r="F580" s="51" t="s">
        <v>341</v>
      </c>
      <c r="G580" s="52">
        <v>65.65656565656566</v>
      </c>
      <c r="H580" s="52"/>
      <c r="I580" s="52">
        <v>65.65656565656566</v>
      </c>
      <c r="J580" s="51" t="s">
        <v>342</v>
      </c>
    </row>
    <row r="581" ht="15.0" customHeight="1">
      <c r="A581" s="51">
        <v>97.0</v>
      </c>
      <c r="B581" s="51" t="s">
        <v>575</v>
      </c>
      <c r="C581" s="51" t="s">
        <v>192</v>
      </c>
      <c r="D581" s="51" t="s">
        <v>308</v>
      </c>
      <c r="E581" s="51" t="s">
        <v>352</v>
      </c>
      <c r="F581" s="51" t="s">
        <v>341</v>
      </c>
      <c r="G581" s="52">
        <v>0.42087542087542085</v>
      </c>
      <c r="H581" s="52"/>
      <c r="I581" s="52">
        <v>0.42087542087542085</v>
      </c>
      <c r="J581" s="51" t="s">
        <v>342</v>
      </c>
    </row>
    <row r="582" ht="15.0" customHeight="1">
      <c r="A582" s="51">
        <v>97.0</v>
      </c>
      <c r="B582" s="51" t="s">
        <v>575</v>
      </c>
      <c r="C582" s="51" t="s">
        <v>192</v>
      </c>
      <c r="D582" s="51" t="s">
        <v>308</v>
      </c>
      <c r="E582" s="51" t="s">
        <v>353</v>
      </c>
      <c r="F582" s="51" t="s">
        <v>354</v>
      </c>
      <c r="G582" s="52">
        <v>18.676868686868687</v>
      </c>
      <c r="H582" s="52">
        <v>18.69686868686869</v>
      </c>
      <c r="I582" s="52">
        <v>18.68686868686869</v>
      </c>
      <c r="J582" s="51" t="s">
        <v>342</v>
      </c>
    </row>
    <row r="583" ht="15.0" customHeight="1">
      <c r="A583" s="51">
        <v>98.0</v>
      </c>
      <c r="B583" s="51" t="s">
        <v>577</v>
      </c>
      <c r="C583" s="51" t="s">
        <v>192</v>
      </c>
      <c r="D583" s="51" t="s">
        <v>308</v>
      </c>
      <c r="E583" s="51" t="s">
        <v>340</v>
      </c>
      <c r="F583" s="51" t="s">
        <v>341</v>
      </c>
      <c r="G583" s="52">
        <v>0.6228956228956228</v>
      </c>
      <c r="H583" s="52"/>
      <c r="I583" s="52">
        <v>0.6228956228956228</v>
      </c>
      <c r="J583" s="51" t="s">
        <v>342</v>
      </c>
    </row>
    <row r="584" ht="15.0" customHeight="1">
      <c r="A584" s="51">
        <v>98.0</v>
      </c>
      <c r="B584" s="51" t="s">
        <v>577</v>
      </c>
      <c r="C584" s="51" t="s">
        <v>192</v>
      </c>
      <c r="D584" s="51" t="s">
        <v>308</v>
      </c>
      <c r="E584" s="51" t="s">
        <v>343</v>
      </c>
      <c r="F584" s="51" t="s">
        <v>341</v>
      </c>
      <c r="G584" s="52">
        <v>1.48</v>
      </c>
      <c r="H584" s="52"/>
      <c r="I584" s="52">
        <v>1.48</v>
      </c>
      <c r="J584" s="51" t="s">
        <v>342</v>
      </c>
    </row>
    <row r="585" ht="15.0" customHeight="1">
      <c r="A585" s="51">
        <v>98.0</v>
      </c>
      <c r="B585" s="51" t="s">
        <v>577</v>
      </c>
      <c r="C585" s="51" t="s">
        <v>192</v>
      </c>
      <c r="D585" s="51" t="s">
        <v>308</v>
      </c>
      <c r="E585" s="51" t="s">
        <v>344</v>
      </c>
      <c r="F585" s="51" t="s">
        <v>345</v>
      </c>
      <c r="G585" s="52"/>
      <c r="H585" s="52">
        <v>7.0</v>
      </c>
      <c r="I585" s="52">
        <v>7.0</v>
      </c>
      <c r="J585" s="51" t="s">
        <v>342</v>
      </c>
    </row>
    <row r="586" ht="15.0" customHeight="1">
      <c r="A586" s="51">
        <v>98.0</v>
      </c>
      <c r="B586" s="51" t="s">
        <v>577</v>
      </c>
      <c r="C586" s="51" t="s">
        <v>192</v>
      </c>
      <c r="D586" s="51" t="s">
        <v>308</v>
      </c>
      <c r="E586" s="51" t="s">
        <v>347</v>
      </c>
      <c r="F586" s="51" t="s">
        <v>341</v>
      </c>
      <c r="G586" s="52">
        <v>30.0</v>
      </c>
      <c r="H586" s="52"/>
      <c r="I586" s="52">
        <v>30.0</v>
      </c>
      <c r="J586" s="51" t="s">
        <v>342</v>
      </c>
    </row>
    <row r="587" ht="15.0" customHeight="1">
      <c r="A587" s="51">
        <v>98.0</v>
      </c>
      <c r="B587" s="51" t="s">
        <v>577</v>
      </c>
      <c r="C587" s="51" t="s">
        <v>192</v>
      </c>
      <c r="D587" s="51" t="s">
        <v>308</v>
      </c>
      <c r="E587" s="51" t="s">
        <v>351</v>
      </c>
      <c r="F587" s="51" t="s">
        <v>341</v>
      </c>
      <c r="G587" s="52">
        <v>65.65656565656566</v>
      </c>
      <c r="H587" s="52"/>
      <c r="I587" s="52">
        <v>65.65656565656566</v>
      </c>
      <c r="J587" s="51" t="s">
        <v>342</v>
      </c>
    </row>
    <row r="588" ht="15.0" customHeight="1">
      <c r="A588" s="51">
        <v>98.0</v>
      </c>
      <c r="B588" s="51" t="s">
        <v>577</v>
      </c>
      <c r="C588" s="51" t="s">
        <v>192</v>
      </c>
      <c r="D588" s="51" t="s">
        <v>308</v>
      </c>
      <c r="E588" s="51" t="s">
        <v>352</v>
      </c>
      <c r="F588" s="51" t="s">
        <v>341</v>
      </c>
      <c r="G588" s="52">
        <v>0.42087542087542085</v>
      </c>
      <c r="H588" s="52"/>
      <c r="I588" s="52">
        <v>0.42087542087542085</v>
      </c>
      <c r="J588" s="51" t="s">
        <v>342</v>
      </c>
    </row>
    <row r="589" ht="15.0" customHeight="1">
      <c r="A589" s="51">
        <v>98.0</v>
      </c>
      <c r="B589" s="51" t="s">
        <v>577</v>
      </c>
      <c r="C589" s="51" t="s">
        <v>192</v>
      </c>
      <c r="D589" s="51" t="s">
        <v>308</v>
      </c>
      <c r="E589" s="51" t="s">
        <v>353</v>
      </c>
      <c r="F589" s="51" t="s">
        <v>354</v>
      </c>
      <c r="G589" s="52">
        <v>18.676868686868687</v>
      </c>
      <c r="H589" s="52">
        <v>18.69686868686869</v>
      </c>
      <c r="I589" s="52">
        <v>18.68686868686869</v>
      </c>
      <c r="J589" s="51" t="s">
        <v>342</v>
      </c>
    </row>
    <row r="590" ht="15.0" customHeight="1">
      <c r="A590" s="51">
        <v>99.0</v>
      </c>
      <c r="B590" s="51" t="s">
        <v>273</v>
      </c>
      <c r="C590" s="51" t="s">
        <v>192</v>
      </c>
      <c r="D590" s="51" t="s">
        <v>308</v>
      </c>
      <c r="E590" s="51" t="s">
        <v>340</v>
      </c>
      <c r="F590" s="51" t="s">
        <v>341</v>
      </c>
      <c r="G590" s="52">
        <v>0.6228956228956228</v>
      </c>
      <c r="H590" s="52"/>
      <c r="I590" s="52">
        <v>0.6228956228956228</v>
      </c>
      <c r="J590" s="51" t="s">
        <v>342</v>
      </c>
    </row>
    <row r="591" ht="15.0" customHeight="1">
      <c r="A591" s="51">
        <v>99.0</v>
      </c>
      <c r="B591" s="51" t="s">
        <v>273</v>
      </c>
      <c r="C591" s="51" t="s">
        <v>192</v>
      </c>
      <c r="D591" s="51" t="s">
        <v>308</v>
      </c>
      <c r="E591" s="51" t="s">
        <v>343</v>
      </c>
      <c r="F591" s="51" t="s">
        <v>341</v>
      </c>
      <c r="G591" s="52">
        <v>1.48</v>
      </c>
      <c r="H591" s="52"/>
      <c r="I591" s="52">
        <v>1.48</v>
      </c>
      <c r="J591" s="51" t="s">
        <v>342</v>
      </c>
    </row>
    <row r="592" ht="15.0" customHeight="1">
      <c r="A592" s="51">
        <v>99.0</v>
      </c>
      <c r="B592" s="51" t="s">
        <v>273</v>
      </c>
      <c r="C592" s="51" t="s">
        <v>192</v>
      </c>
      <c r="D592" s="51" t="s">
        <v>308</v>
      </c>
      <c r="E592" s="51" t="s">
        <v>344</v>
      </c>
      <c r="F592" s="51" t="s">
        <v>345</v>
      </c>
      <c r="G592" s="52"/>
      <c r="H592" s="52">
        <v>7.0</v>
      </c>
      <c r="I592" s="52">
        <v>7.0</v>
      </c>
      <c r="J592" s="51" t="s">
        <v>342</v>
      </c>
    </row>
    <row r="593" ht="15.0" customHeight="1">
      <c r="A593" s="51">
        <v>99.0</v>
      </c>
      <c r="B593" s="51" t="s">
        <v>273</v>
      </c>
      <c r="C593" s="51" t="s">
        <v>192</v>
      </c>
      <c r="D593" s="51" t="s">
        <v>308</v>
      </c>
      <c r="E593" s="51" t="s">
        <v>347</v>
      </c>
      <c r="F593" s="51" t="s">
        <v>341</v>
      </c>
      <c r="G593" s="52">
        <v>30.0</v>
      </c>
      <c r="H593" s="52"/>
      <c r="I593" s="52">
        <v>30.0</v>
      </c>
      <c r="J593" s="51" t="s">
        <v>342</v>
      </c>
    </row>
    <row r="594" ht="15.0" customHeight="1">
      <c r="A594" s="51">
        <v>99.0</v>
      </c>
      <c r="B594" s="51" t="s">
        <v>273</v>
      </c>
      <c r="C594" s="51" t="s">
        <v>192</v>
      </c>
      <c r="D594" s="51" t="s">
        <v>308</v>
      </c>
      <c r="E594" s="51" t="s">
        <v>351</v>
      </c>
      <c r="F594" s="51" t="s">
        <v>341</v>
      </c>
      <c r="G594" s="52">
        <v>65.65656565656566</v>
      </c>
      <c r="H594" s="52"/>
      <c r="I594" s="52">
        <v>65.65656565656566</v>
      </c>
      <c r="J594" s="51" t="s">
        <v>342</v>
      </c>
    </row>
    <row r="595" ht="15.0" customHeight="1">
      <c r="A595" s="51">
        <v>99.0</v>
      </c>
      <c r="B595" s="51" t="s">
        <v>273</v>
      </c>
      <c r="C595" s="51" t="s">
        <v>192</v>
      </c>
      <c r="D595" s="51" t="s">
        <v>308</v>
      </c>
      <c r="E595" s="51" t="s">
        <v>352</v>
      </c>
      <c r="F595" s="51" t="s">
        <v>341</v>
      </c>
      <c r="G595" s="52">
        <v>0.42087542087542085</v>
      </c>
      <c r="H595" s="52"/>
      <c r="I595" s="52">
        <v>0.42087542087542085</v>
      </c>
      <c r="J595" s="51" t="s">
        <v>342</v>
      </c>
    </row>
    <row r="596" ht="15.0" customHeight="1">
      <c r="A596" s="51">
        <v>99.0</v>
      </c>
      <c r="B596" s="51" t="s">
        <v>273</v>
      </c>
      <c r="C596" s="51" t="s">
        <v>192</v>
      </c>
      <c r="D596" s="51" t="s">
        <v>308</v>
      </c>
      <c r="E596" s="51" t="s">
        <v>353</v>
      </c>
      <c r="F596" s="51" t="s">
        <v>354</v>
      </c>
      <c r="G596" s="52">
        <v>18.676868686868687</v>
      </c>
      <c r="H596" s="52">
        <v>18.69686868686869</v>
      </c>
      <c r="I596" s="52">
        <v>18.68686868686869</v>
      </c>
      <c r="J596" s="51" t="s">
        <v>342</v>
      </c>
    </row>
    <row r="597" ht="15.0" customHeight="1">
      <c r="A597" s="51">
        <v>100.0</v>
      </c>
      <c r="B597" s="51" t="s">
        <v>294</v>
      </c>
      <c r="C597" s="51" t="s">
        <v>192</v>
      </c>
      <c r="D597" s="51" t="s">
        <v>308</v>
      </c>
      <c r="E597" s="51" t="s">
        <v>340</v>
      </c>
      <c r="F597" s="51" t="s">
        <v>341</v>
      </c>
      <c r="G597" s="52">
        <v>0.6228956228956228</v>
      </c>
      <c r="H597" s="52"/>
      <c r="I597" s="52">
        <v>0.6228956228956228</v>
      </c>
      <c r="J597" s="51" t="s">
        <v>342</v>
      </c>
    </row>
    <row r="598" ht="15.0" customHeight="1">
      <c r="A598" s="51">
        <v>100.0</v>
      </c>
      <c r="B598" s="51" t="s">
        <v>294</v>
      </c>
      <c r="C598" s="51" t="s">
        <v>192</v>
      </c>
      <c r="D598" s="51" t="s">
        <v>308</v>
      </c>
      <c r="E598" s="51" t="s">
        <v>343</v>
      </c>
      <c r="F598" s="51" t="s">
        <v>341</v>
      </c>
      <c r="G598" s="52">
        <v>1.48</v>
      </c>
      <c r="H598" s="52"/>
      <c r="I598" s="52">
        <v>1.48</v>
      </c>
      <c r="J598" s="51" t="s">
        <v>342</v>
      </c>
    </row>
    <row r="599" ht="15.0" customHeight="1">
      <c r="A599" s="51">
        <v>100.0</v>
      </c>
      <c r="B599" s="51" t="s">
        <v>294</v>
      </c>
      <c r="C599" s="51" t="s">
        <v>192</v>
      </c>
      <c r="D599" s="51" t="s">
        <v>308</v>
      </c>
      <c r="E599" s="51" t="s">
        <v>344</v>
      </c>
      <c r="F599" s="51" t="s">
        <v>345</v>
      </c>
      <c r="G599" s="52"/>
      <c r="H599" s="52">
        <v>7.0</v>
      </c>
      <c r="I599" s="52">
        <v>7.0</v>
      </c>
      <c r="J599" s="51" t="s">
        <v>342</v>
      </c>
    </row>
    <row r="600" ht="15.0" customHeight="1">
      <c r="A600" s="51">
        <v>100.0</v>
      </c>
      <c r="B600" s="51" t="s">
        <v>294</v>
      </c>
      <c r="C600" s="51" t="s">
        <v>192</v>
      </c>
      <c r="D600" s="51" t="s">
        <v>308</v>
      </c>
      <c r="E600" s="51" t="s">
        <v>347</v>
      </c>
      <c r="F600" s="51" t="s">
        <v>341</v>
      </c>
      <c r="G600" s="52">
        <v>30.0</v>
      </c>
      <c r="H600" s="52"/>
      <c r="I600" s="52">
        <v>30.0</v>
      </c>
      <c r="J600" s="51" t="s">
        <v>342</v>
      </c>
    </row>
    <row r="601" ht="15.0" customHeight="1">
      <c r="A601" s="51">
        <v>100.0</v>
      </c>
      <c r="B601" s="51" t="s">
        <v>294</v>
      </c>
      <c r="C601" s="51" t="s">
        <v>192</v>
      </c>
      <c r="D601" s="51" t="s">
        <v>308</v>
      </c>
      <c r="E601" s="51" t="s">
        <v>351</v>
      </c>
      <c r="F601" s="51" t="s">
        <v>341</v>
      </c>
      <c r="G601" s="52">
        <v>65.65656565656566</v>
      </c>
      <c r="H601" s="52"/>
      <c r="I601" s="52">
        <v>65.65656565656566</v>
      </c>
      <c r="J601" s="51" t="s">
        <v>342</v>
      </c>
    </row>
    <row r="602" ht="15.0" customHeight="1">
      <c r="A602" s="51">
        <v>100.0</v>
      </c>
      <c r="B602" s="51" t="s">
        <v>294</v>
      </c>
      <c r="C602" s="51" t="s">
        <v>192</v>
      </c>
      <c r="D602" s="51" t="s">
        <v>308</v>
      </c>
      <c r="E602" s="51" t="s">
        <v>352</v>
      </c>
      <c r="F602" s="51" t="s">
        <v>341</v>
      </c>
      <c r="G602" s="52">
        <v>0.42087542087542085</v>
      </c>
      <c r="H602" s="52"/>
      <c r="I602" s="52">
        <v>0.42087542087542085</v>
      </c>
      <c r="J602" s="51" t="s">
        <v>342</v>
      </c>
    </row>
    <row r="603" ht="15.0" customHeight="1">
      <c r="A603" s="51">
        <v>100.0</v>
      </c>
      <c r="B603" s="51" t="s">
        <v>294</v>
      </c>
      <c r="C603" s="51" t="s">
        <v>192</v>
      </c>
      <c r="D603" s="51" t="s">
        <v>308</v>
      </c>
      <c r="E603" s="51" t="s">
        <v>353</v>
      </c>
      <c r="F603" s="51" t="s">
        <v>354</v>
      </c>
      <c r="G603" s="52">
        <v>18.68</v>
      </c>
      <c r="H603" s="52">
        <v>18.700000000000003</v>
      </c>
      <c r="I603" s="52">
        <v>18.68686868686869</v>
      </c>
      <c r="J603" s="51" t="s">
        <v>260</v>
      </c>
    </row>
    <row r="604" ht="15.0" customHeight="1">
      <c r="A604" s="51">
        <v>101.0</v>
      </c>
      <c r="B604" s="51" t="s">
        <v>369</v>
      </c>
      <c r="C604" s="51" t="s">
        <v>192</v>
      </c>
      <c r="D604" s="51" t="s">
        <v>308</v>
      </c>
      <c r="E604" s="51" t="s">
        <v>340</v>
      </c>
      <c r="F604" s="51" t="s">
        <v>341</v>
      </c>
      <c r="G604" s="52">
        <v>0.6228956228956228</v>
      </c>
      <c r="H604" s="52"/>
      <c r="I604" s="52">
        <v>0.6228956228956228</v>
      </c>
      <c r="J604" s="51" t="s">
        <v>342</v>
      </c>
    </row>
    <row r="605" ht="15.0" customHeight="1">
      <c r="A605" s="51">
        <v>101.0</v>
      </c>
      <c r="B605" s="51" t="s">
        <v>369</v>
      </c>
      <c r="C605" s="51" t="s">
        <v>192</v>
      </c>
      <c r="D605" s="51" t="s">
        <v>308</v>
      </c>
      <c r="E605" s="51" t="s">
        <v>343</v>
      </c>
      <c r="F605" s="51" t="s">
        <v>341</v>
      </c>
      <c r="G605" s="52">
        <v>1.48</v>
      </c>
      <c r="H605" s="52"/>
      <c r="I605" s="52">
        <v>1.48</v>
      </c>
      <c r="J605" s="51" t="s">
        <v>342</v>
      </c>
    </row>
    <row r="606" ht="15.0" customHeight="1">
      <c r="A606" s="51">
        <v>101.0</v>
      </c>
      <c r="B606" s="51" t="s">
        <v>369</v>
      </c>
      <c r="C606" s="51" t="s">
        <v>192</v>
      </c>
      <c r="D606" s="51" t="s">
        <v>308</v>
      </c>
      <c r="E606" s="51" t="s">
        <v>344</v>
      </c>
      <c r="F606" s="51" t="s">
        <v>345</v>
      </c>
      <c r="G606" s="52"/>
      <c r="H606" s="52">
        <v>7.0</v>
      </c>
      <c r="I606" s="52">
        <v>7.0</v>
      </c>
      <c r="J606" s="51" t="s">
        <v>342</v>
      </c>
    </row>
    <row r="607" ht="15.0" customHeight="1">
      <c r="A607" s="51">
        <v>101.0</v>
      </c>
      <c r="B607" s="51" t="s">
        <v>369</v>
      </c>
      <c r="C607" s="51" t="s">
        <v>192</v>
      </c>
      <c r="D607" s="51" t="s">
        <v>308</v>
      </c>
      <c r="E607" s="51" t="s">
        <v>347</v>
      </c>
      <c r="F607" s="51" t="s">
        <v>341</v>
      </c>
      <c r="G607" s="52">
        <v>30.0</v>
      </c>
      <c r="H607" s="52"/>
      <c r="I607" s="52">
        <v>30.0</v>
      </c>
      <c r="J607" s="51" t="s">
        <v>342</v>
      </c>
    </row>
    <row r="608" ht="15.0" customHeight="1">
      <c r="A608" s="51">
        <v>101.0</v>
      </c>
      <c r="B608" s="51" t="s">
        <v>369</v>
      </c>
      <c r="C608" s="51" t="s">
        <v>192</v>
      </c>
      <c r="D608" s="51" t="s">
        <v>308</v>
      </c>
      <c r="E608" s="51" t="s">
        <v>351</v>
      </c>
      <c r="F608" s="51" t="s">
        <v>341</v>
      </c>
      <c r="G608" s="52">
        <v>65.65656565656566</v>
      </c>
      <c r="H608" s="52"/>
      <c r="I608" s="52">
        <v>65.65656565656566</v>
      </c>
      <c r="J608" s="51" t="s">
        <v>342</v>
      </c>
    </row>
    <row r="609" ht="15.0" customHeight="1">
      <c r="A609" s="51">
        <v>101.0</v>
      </c>
      <c r="B609" s="51" t="s">
        <v>369</v>
      </c>
      <c r="C609" s="51" t="s">
        <v>192</v>
      </c>
      <c r="D609" s="51" t="s">
        <v>308</v>
      </c>
      <c r="E609" s="51" t="s">
        <v>352</v>
      </c>
      <c r="F609" s="51" t="s">
        <v>341</v>
      </c>
      <c r="G609" s="52">
        <v>0.42087542087542085</v>
      </c>
      <c r="H609" s="52"/>
      <c r="I609" s="52">
        <v>0.42087542087542085</v>
      </c>
      <c r="J609" s="51" t="s">
        <v>342</v>
      </c>
    </row>
    <row r="610" ht="15.0" customHeight="1">
      <c r="A610" s="51">
        <v>101.0</v>
      </c>
      <c r="B610" s="51" t="s">
        <v>369</v>
      </c>
      <c r="C610" s="51" t="s">
        <v>192</v>
      </c>
      <c r="D610" s="51" t="s">
        <v>308</v>
      </c>
      <c r="E610" s="51" t="s">
        <v>353</v>
      </c>
      <c r="F610" s="51" t="s">
        <v>354</v>
      </c>
      <c r="G610" s="52">
        <v>18.676868686868687</v>
      </c>
      <c r="H610" s="52">
        <v>18.69686868686869</v>
      </c>
      <c r="I610" s="52">
        <v>18.68686868686869</v>
      </c>
      <c r="J610" s="51" t="s">
        <v>342</v>
      </c>
    </row>
    <row r="611" ht="15.0" customHeight="1">
      <c r="A611" s="51">
        <v>102.0</v>
      </c>
      <c r="B611" s="51" t="s">
        <v>414</v>
      </c>
      <c r="C611" s="51" t="s">
        <v>192</v>
      </c>
      <c r="D611" s="51" t="s">
        <v>308</v>
      </c>
      <c r="E611" s="51" t="s">
        <v>340</v>
      </c>
      <c r="F611" s="51" t="s">
        <v>341</v>
      </c>
      <c r="G611" s="52">
        <v>0.42</v>
      </c>
      <c r="H611" s="52"/>
      <c r="I611" s="52">
        <v>0.42</v>
      </c>
      <c r="J611" s="51" t="s">
        <v>342</v>
      </c>
    </row>
    <row r="612" ht="15.0" customHeight="1">
      <c r="A612" s="51">
        <v>102.0</v>
      </c>
      <c r="B612" s="51" t="s">
        <v>414</v>
      </c>
      <c r="C612" s="51" t="s">
        <v>192</v>
      </c>
      <c r="D612" s="51" t="s">
        <v>308</v>
      </c>
      <c r="E612" s="51" t="s">
        <v>343</v>
      </c>
      <c r="F612" s="51" t="s">
        <v>341</v>
      </c>
      <c r="G612" s="52">
        <v>1.41</v>
      </c>
      <c r="H612" s="52"/>
      <c r="I612" s="52">
        <v>1.41</v>
      </c>
      <c r="J612" s="51" t="s">
        <v>342</v>
      </c>
    </row>
    <row r="613" ht="15.0" customHeight="1">
      <c r="A613" s="51">
        <v>102.0</v>
      </c>
      <c r="B613" s="51" t="s">
        <v>414</v>
      </c>
      <c r="C613" s="51" t="s">
        <v>192</v>
      </c>
      <c r="D613" s="51" t="s">
        <v>308</v>
      </c>
      <c r="E613" s="51" t="s">
        <v>344</v>
      </c>
      <c r="F613" s="51" t="s">
        <v>345</v>
      </c>
      <c r="G613" s="52"/>
      <c r="H613" s="52">
        <v>7.0</v>
      </c>
      <c r="I613" s="52">
        <v>7.0</v>
      </c>
      <c r="J613" s="51" t="s">
        <v>342</v>
      </c>
    </row>
    <row r="614" ht="15.0" customHeight="1">
      <c r="A614" s="51">
        <v>102.0</v>
      </c>
      <c r="B614" s="51" t="s">
        <v>414</v>
      </c>
      <c r="C614" s="51" t="s">
        <v>192</v>
      </c>
      <c r="D614" s="51" t="s">
        <v>308</v>
      </c>
      <c r="E614" s="51" t="s">
        <v>347</v>
      </c>
      <c r="F614" s="51" t="s">
        <v>341</v>
      </c>
      <c r="G614" s="52">
        <v>30.0</v>
      </c>
      <c r="H614" s="52"/>
      <c r="I614" s="52">
        <v>30.0</v>
      </c>
      <c r="J614" s="51" t="s">
        <v>342</v>
      </c>
    </row>
    <row r="615" ht="15.0" customHeight="1">
      <c r="A615" s="51">
        <v>102.0</v>
      </c>
      <c r="B615" s="51" t="s">
        <v>414</v>
      </c>
      <c r="C615" s="51" t="s">
        <v>192</v>
      </c>
      <c r="D615" s="51" t="s">
        <v>308</v>
      </c>
      <c r="E615" s="51" t="s">
        <v>351</v>
      </c>
      <c r="F615" s="51" t="s">
        <v>341</v>
      </c>
      <c r="G615" s="52">
        <v>79.14</v>
      </c>
      <c r="H615" s="52"/>
      <c r="I615" s="52">
        <v>79.14</v>
      </c>
      <c r="J615" s="51" t="s">
        <v>342</v>
      </c>
    </row>
    <row r="616" ht="15.0" customHeight="1">
      <c r="A616" s="51">
        <v>102.0</v>
      </c>
      <c r="B616" s="51" t="s">
        <v>414</v>
      </c>
      <c r="C616" s="51" t="s">
        <v>192</v>
      </c>
      <c r="D616" s="51" t="s">
        <v>308</v>
      </c>
      <c r="E616" s="51" t="s">
        <v>352</v>
      </c>
      <c r="F616" s="51" t="s">
        <v>341</v>
      </c>
      <c r="G616" s="52">
        <v>0.3</v>
      </c>
      <c r="H616" s="52"/>
      <c r="I616" s="52">
        <v>0.3</v>
      </c>
      <c r="J616" s="51" t="s">
        <v>342</v>
      </c>
    </row>
    <row r="617" ht="15.0" customHeight="1">
      <c r="A617" s="51">
        <v>102.0</v>
      </c>
      <c r="B617" s="51" t="s">
        <v>414</v>
      </c>
      <c r="C617" s="51" t="s">
        <v>192</v>
      </c>
      <c r="D617" s="51" t="s">
        <v>308</v>
      </c>
      <c r="E617" s="51" t="s">
        <v>353</v>
      </c>
      <c r="F617" s="51" t="s">
        <v>354</v>
      </c>
      <c r="G617" s="52">
        <v>14.01</v>
      </c>
      <c r="H617" s="52">
        <v>14.03</v>
      </c>
      <c r="I617" s="52">
        <v>14.02</v>
      </c>
      <c r="J617" s="51" t="s">
        <v>342</v>
      </c>
    </row>
    <row r="618" ht="15.0" customHeight="1">
      <c r="A618" s="51">
        <v>103.0</v>
      </c>
      <c r="B618" s="51" t="s">
        <v>578</v>
      </c>
      <c r="C618" s="51" t="s">
        <v>192</v>
      </c>
      <c r="D618" s="51" t="s">
        <v>308</v>
      </c>
      <c r="E618" s="51" t="s">
        <v>340</v>
      </c>
      <c r="F618" s="51" t="s">
        <v>341</v>
      </c>
      <c r="G618" s="52">
        <v>0.4042081949058694</v>
      </c>
      <c r="H618" s="52"/>
      <c r="I618" s="52">
        <v>0.4042081949058694</v>
      </c>
      <c r="J618" s="51" t="s">
        <v>342</v>
      </c>
    </row>
    <row r="619" ht="15.0" customHeight="1">
      <c r="A619" s="51">
        <v>103.0</v>
      </c>
      <c r="B619" s="51" t="s">
        <v>578</v>
      </c>
      <c r="C619" s="51" t="s">
        <v>192</v>
      </c>
      <c r="D619" s="51" t="s">
        <v>308</v>
      </c>
      <c r="E619" s="51" t="s">
        <v>343</v>
      </c>
      <c r="F619" s="51" t="s">
        <v>341</v>
      </c>
      <c r="G619" s="52">
        <v>1.1587301587301588</v>
      </c>
      <c r="H619" s="52"/>
      <c r="I619" s="52">
        <v>1.1587301587301588</v>
      </c>
      <c r="J619" s="51" t="s">
        <v>342</v>
      </c>
    </row>
    <row r="620" ht="15.0" customHeight="1">
      <c r="A620" s="51">
        <v>103.0</v>
      </c>
      <c r="B620" s="51" t="s">
        <v>578</v>
      </c>
      <c r="C620" s="51" t="s">
        <v>192</v>
      </c>
      <c r="D620" s="51" t="s">
        <v>308</v>
      </c>
      <c r="E620" s="51" t="s">
        <v>344</v>
      </c>
      <c r="F620" s="51" t="s">
        <v>345</v>
      </c>
      <c r="G620" s="52"/>
      <c r="H620" s="52">
        <v>7.0</v>
      </c>
      <c r="I620" s="52">
        <v>7.0</v>
      </c>
      <c r="J620" s="51" t="s">
        <v>342</v>
      </c>
    </row>
    <row r="621" ht="15.0" customHeight="1">
      <c r="A621" s="51">
        <v>103.0</v>
      </c>
      <c r="B621" s="51" t="s">
        <v>578</v>
      </c>
      <c r="C621" s="51" t="s">
        <v>192</v>
      </c>
      <c r="D621" s="51" t="s">
        <v>308</v>
      </c>
      <c r="E621" s="51" t="s">
        <v>347</v>
      </c>
      <c r="F621" s="51" t="s">
        <v>341</v>
      </c>
      <c r="G621" s="52">
        <v>30.0</v>
      </c>
      <c r="H621" s="52"/>
      <c r="I621" s="52">
        <v>30.0</v>
      </c>
      <c r="J621" s="51" t="s">
        <v>342</v>
      </c>
    </row>
    <row r="622" ht="15.0" customHeight="1">
      <c r="A622" s="51">
        <v>103.0</v>
      </c>
      <c r="B622" s="51" t="s">
        <v>578</v>
      </c>
      <c r="C622" s="51" t="s">
        <v>192</v>
      </c>
      <c r="D622" s="51" t="s">
        <v>308</v>
      </c>
      <c r="E622" s="51" t="s">
        <v>351</v>
      </c>
      <c r="F622" s="51" t="s">
        <v>341</v>
      </c>
      <c r="G622" s="52">
        <v>66.44518272425249</v>
      </c>
      <c r="H622" s="52"/>
      <c r="I622" s="52">
        <v>66.44518272425249</v>
      </c>
      <c r="J622" s="51" t="s">
        <v>342</v>
      </c>
    </row>
    <row r="623" ht="15.0" customHeight="1">
      <c r="A623" s="51">
        <v>103.0</v>
      </c>
      <c r="B623" s="51" t="s">
        <v>578</v>
      </c>
      <c r="C623" s="51" t="s">
        <v>192</v>
      </c>
      <c r="D623" s="51" t="s">
        <v>308</v>
      </c>
      <c r="E623" s="51" t="s">
        <v>352</v>
      </c>
      <c r="F623" s="51" t="s">
        <v>341</v>
      </c>
      <c r="G623" s="52">
        <v>0.34883720930232565</v>
      </c>
      <c r="H623" s="52"/>
      <c r="I623" s="52">
        <v>0.34883720930232565</v>
      </c>
      <c r="J623" s="51" t="s">
        <v>342</v>
      </c>
    </row>
    <row r="624" ht="15.0" customHeight="1">
      <c r="A624" s="53">
        <v>103.0</v>
      </c>
      <c r="B624" s="53" t="s">
        <v>578</v>
      </c>
      <c r="C624" s="53" t="s">
        <v>192</v>
      </c>
      <c r="D624" s="53" t="s">
        <v>308</v>
      </c>
      <c r="E624" s="53" t="s">
        <v>353</v>
      </c>
      <c r="F624" s="53" t="s">
        <v>354</v>
      </c>
      <c r="G624" s="54">
        <v>14.829424141749724</v>
      </c>
      <c r="H624" s="54">
        <v>14.849424141749724</v>
      </c>
      <c r="I624" s="54">
        <v>14.839424141749724</v>
      </c>
      <c r="J624" s="53" t="s">
        <v>342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28.0"/>
    <col customWidth="1" min="3" max="3" width="14.0"/>
    <col customWidth="1" min="4" max="4" width="12.0"/>
    <col customWidth="1" min="5" max="6" width="22.0"/>
    <col customWidth="1" min="7" max="7" width="18.0"/>
    <col customWidth="1" min="8" max="8" width="11.0"/>
    <col customWidth="1" min="9" max="10" width="13.0"/>
    <col customWidth="1" min="11" max="11" width="15.0"/>
    <col customWidth="1" min="12" max="12" width="12.0"/>
    <col customWidth="1" min="13" max="13" width="20.0"/>
    <col customWidth="1" min="14" max="14" width="14.0"/>
    <col customWidth="1" min="15" max="15" width="28.0"/>
    <col customWidth="1" min="16" max="16" width="18.0"/>
    <col customWidth="1" min="17" max="17" width="22.0"/>
    <col customWidth="1" min="18" max="19" width="24.0"/>
    <col customWidth="1" min="20" max="25" width="8.63"/>
  </cols>
  <sheetData>
    <row r="1" ht="15.0" customHeight="1">
      <c r="A1" s="49" t="s">
        <v>238</v>
      </c>
      <c r="B1" s="49" t="s">
        <v>142</v>
      </c>
      <c r="C1" s="49" t="s">
        <v>239</v>
      </c>
      <c r="D1" s="49" t="s">
        <v>486</v>
      </c>
      <c r="E1" s="49" t="s">
        <v>487</v>
      </c>
      <c r="F1" s="49" t="s">
        <v>143</v>
      </c>
      <c r="G1" s="49" t="s">
        <v>241</v>
      </c>
      <c r="H1" s="49" t="s">
        <v>242</v>
      </c>
      <c r="I1" s="49" t="s">
        <v>243</v>
      </c>
      <c r="J1" s="49" t="s">
        <v>244</v>
      </c>
      <c r="K1" s="49" t="s">
        <v>490</v>
      </c>
      <c r="L1" s="49" t="s">
        <v>492</v>
      </c>
      <c r="M1" s="49" t="s">
        <v>493</v>
      </c>
      <c r="N1" s="49" t="s">
        <v>494</v>
      </c>
      <c r="O1" s="49" t="s">
        <v>496</v>
      </c>
      <c r="P1" s="49" t="s">
        <v>497</v>
      </c>
      <c r="Q1" s="49" t="s">
        <v>498</v>
      </c>
      <c r="R1" s="49" t="s">
        <v>499</v>
      </c>
      <c r="S1" s="49" t="s">
        <v>500</v>
      </c>
    </row>
    <row r="2" ht="15.0" customHeight="1">
      <c r="A2" s="51">
        <v>11.0</v>
      </c>
      <c r="B2" s="51" t="s">
        <v>174</v>
      </c>
      <c r="C2" s="51" t="s">
        <v>258</v>
      </c>
      <c r="D2" s="51" t="s">
        <v>501</v>
      </c>
      <c r="E2" s="51" t="s">
        <v>502</v>
      </c>
      <c r="F2" s="51" t="s">
        <v>177</v>
      </c>
      <c r="G2" s="51" t="s">
        <v>262</v>
      </c>
      <c r="H2" s="52">
        <v>20.0</v>
      </c>
      <c r="I2" s="52">
        <v>0.2</v>
      </c>
      <c r="J2" s="52">
        <v>0.594</v>
      </c>
      <c r="K2" s="51">
        <v>7.0</v>
      </c>
      <c r="L2" s="51">
        <v>0.0</v>
      </c>
      <c r="M2" s="51" t="s">
        <v>342</v>
      </c>
      <c r="N2" s="51">
        <v>7.0</v>
      </c>
      <c r="O2" s="51" t="s">
        <v>504</v>
      </c>
      <c r="P2" s="52">
        <v>50.0</v>
      </c>
      <c r="Q2" s="52">
        <v>39.99382976735496</v>
      </c>
      <c r="R2" s="57">
        <v>46232.54768697917</v>
      </c>
      <c r="S2" s="57">
        <v>46232.54768697917</v>
      </c>
    </row>
    <row r="3" ht="48.0" customHeight="1">
      <c r="A3" s="51">
        <v>14.0</v>
      </c>
      <c r="B3" s="51" t="s">
        <v>174</v>
      </c>
      <c r="C3" s="51" t="s">
        <v>258</v>
      </c>
      <c r="D3" s="51" t="s">
        <v>501</v>
      </c>
      <c r="E3" s="51" t="s">
        <v>502</v>
      </c>
      <c r="F3" s="51" t="s">
        <v>177</v>
      </c>
      <c r="G3" s="51" t="s">
        <v>262</v>
      </c>
      <c r="H3" s="52">
        <v>20.0</v>
      </c>
      <c r="I3" s="52">
        <v>0.2</v>
      </c>
      <c r="J3" s="52">
        <v>0.594</v>
      </c>
      <c r="K3" s="51">
        <v>6.0</v>
      </c>
      <c r="L3" s="51">
        <v>1.0</v>
      </c>
      <c r="M3" s="51" t="s">
        <v>342</v>
      </c>
      <c r="N3" s="51">
        <v>7.0</v>
      </c>
      <c r="O3" s="51" t="s">
        <v>504</v>
      </c>
      <c r="P3" s="52">
        <v>50.0</v>
      </c>
      <c r="Q3" s="52">
        <v>50.0</v>
      </c>
      <c r="R3" s="57">
        <v>46239.57982353009</v>
      </c>
      <c r="S3" s="57">
        <v>46239.57982353009</v>
      </c>
    </row>
    <row r="4" ht="15.0" customHeight="1">
      <c r="A4" s="51">
        <v>17.0</v>
      </c>
      <c r="B4" s="51" t="s">
        <v>191</v>
      </c>
      <c r="C4" s="51" t="s">
        <v>258</v>
      </c>
      <c r="D4" s="51" t="s">
        <v>501</v>
      </c>
      <c r="E4" s="51" t="s">
        <v>509</v>
      </c>
      <c r="F4" s="51" t="s">
        <v>192</v>
      </c>
      <c r="G4" s="51" t="s">
        <v>308</v>
      </c>
      <c r="H4" s="52">
        <v>20.0</v>
      </c>
      <c r="I4" s="52">
        <v>0.2</v>
      </c>
      <c r="J4" s="52">
        <v>0.594</v>
      </c>
      <c r="K4" s="51">
        <v>5.0</v>
      </c>
      <c r="L4" s="51">
        <v>3.0</v>
      </c>
      <c r="M4" s="51" t="s">
        <v>342</v>
      </c>
      <c r="N4" s="51">
        <v>7.0</v>
      </c>
      <c r="O4" s="51" t="s">
        <v>504</v>
      </c>
      <c r="P4" s="52">
        <v>50.0</v>
      </c>
      <c r="Q4" s="52">
        <v>50.01279583590208</v>
      </c>
      <c r="R4" s="57">
        <v>46246.92869388889</v>
      </c>
      <c r="S4" s="57">
        <v>46246.92869388889</v>
      </c>
    </row>
    <row r="5" ht="15.0" customHeight="1">
      <c r="A5" s="51">
        <v>28.0</v>
      </c>
      <c r="B5" s="51" t="s">
        <v>200</v>
      </c>
      <c r="C5" s="51" t="s">
        <v>258</v>
      </c>
      <c r="D5" s="51" t="s">
        <v>501</v>
      </c>
      <c r="E5" s="51" t="s">
        <v>509</v>
      </c>
      <c r="F5" s="51" t="s">
        <v>192</v>
      </c>
      <c r="G5" s="51" t="s">
        <v>308</v>
      </c>
      <c r="H5" s="52">
        <v>20.0</v>
      </c>
      <c r="I5" s="52">
        <v>0.2</v>
      </c>
      <c r="J5" s="52">
        <v>0.594</v>
      </c>
      <c r="K5" s="51">
        <v>7.0</v>
      </c>
      <c r="L5" s="51">
        <v>0.0</v>
      </c>
      <c r="M5" s="51" t="s">
        <v>342</v>
      </c>
      <c r="N5" s="51">
        <v>7.0</v>
      </c>
      <c r="O5" s="51" t="s">
        <v>504</v>
      </c>
      <c r="P5" s="52">
        <v>20.0</v>
      </c>
      <c r="Q5" s="52">
        <v>20.0</v>
      </c>
      <c r="R5" s="57">
        <v>46247.92675488426</v>
      </c>
      <c r="S5" s="57">
        <v>46247.92675488426</v>
      </c>
    </row>
    <row r="6" ht="15.0" customHeight="1">
      <c r="A6" s="51">
        <v>29.0</v>
      </c>
      <c r="B6" s="51" t="s">
        <v>205</v>
      </c>
      <c r="C6" s="51" t="s">
        <v>258</v>
      </c>
      <c r="D6" s="51" t="s">
        <v>501</v>
      </c>
      <c r="E6" s="51" t="s">
        <v>509</v>
      </c>
      <c r="F6" s="51" t="s">
        <v>192</v>
      </c>
      <c r="G6" s="51" t="s">
        <v>308</v>
      </c>
      <c r="H6" s="52">
        <v>20.0</v>
      </c>
      <c r="I6" s="52">
        <v>0.15</v>
      </c>
      <c r="J6" s="52">
        <v>0.76</v>
      </c>
      <c r="K6" s="51">
        <v>7.0</v>
      </c>
      <c r="L6" s="51">
        <v>0.0</v>
      </c>
      <c r="M6" s="51" t="s">
        <v>342</v>
      </c>
      <c r="N6" s="51">
        <v>7.0</v>
      </c>
      <c r="O6" s="51" t="s">
        <v>504</v>
      </c>
      <c r="P6" s="52">
        <v>25.0</v>
      </c>
      <c r="Q6" s="52">
        <v>25.0</v>
      </c>
      <c r="R6" s="57">
        <v>46247.93175023148</v>
      </c>
      <c r="S6" s="57">
        <v>46247.93175023148</v>
      </c>
    </row>
    <row r="7" ht="15.0" customHeight="1">
      <c r="A7" s="51">
        <v>30.0</v>
      </c>
      <c r="B7" s="51" t="s">
        <v>214</v>
      </c>
      <c r="C7" s="51" t="s">
        <v>258</v>
      </c>
      <c r="D7" s="51" t="s">
        <v>501</v>
      </c>
      <c r="E7" s="51" t="s">
        <v>509</v>
      </c>
      <c r="F7" s="51" t="s">
        <v>192</v>
      </c>
      <c r="G7" s="51" t="s">
        <v>308</v>
      </c>
      <c r="H7" s="52">
        <v>20.0</v>
      </c>
      <c r="I7" s="52">
        <v>0.2</v>
      </c>
      <c r="J7" s="52">
        <v>0.614</v>
      </c>
      <c r="K7" s="51">
        <v>7.0</v>
      </c>
      <c r="L7" s="51">
        <v>0.0</v>
      </c>
      <c r="M7" s="51" t="s">
        <v>342</v>
      </c>
      <c r="N7" s="51">
        <v>7.0</v>
      </c>
      <c r="O7" s="51" t="s">
        <v>504</v>
      </c>
      <c r="P7" s="52">
        <v>30.0</v>
      </c>
      <c r="Q7" s="52">
        <v>30.0</v>
      </c>
      <c r="R7" s="57">
        <v>46247.93568829861</v>
      </c>
      <c r="S7" s="57">
        <v>46247.93568829861</v>
      </c>
    </row>
    <row r="8" ht="15.0" customHeight="1">
      <c r="A8" s="51">
        <v>31.0</v>
      </c>
      <c r="B8" s="51" t="s">
        <v>518</v>
      </c>
      <c r="C8" s="51" t="s">
        <v>258</v>
      </c>
      <c r="D8" s="51" t="s">
        <v>501</v>
      </c>
      <c r="E8" s="51" t="s">
        <v>509</v>
      </c>
      <c r="F8" s="51" t="s">
        <v>192</v>
      </c>
      <c r="G8" s="51" t="s">
        <v>308</v>
      </c>
      <c r="H8" s="52">
        <v>50.0</v>
      </c>
      <c r="I8" s="52">
        <v>0.028</v>
      </c>
      <c r="J8" s="52">
        <v>1.6</v>
      </c>
      <c r="K8" s="51">
        <v>4.0</v>
      </c>
      <c r="L8" s="51">
        <v>0.0</v>
      </c>
      <c r="M8" s="51" t="s">
        <v>342</v>
      </c>
      <c r="N8" s="51">
        <v>7.0</v>
      </c>
      <c r="O8" s="51" t="s">
        <v>504</v>
      </c>
      <c r="P8" s="52">
        <v>75.0</v>
      </c>
      <c r="Q8" s="52">
        <v>75.0</v>
      </c>
      <c r="R8" s="57">
        <v>46247.941328692126</v>
      </c>
      <c r="S8" s="57">
        <v>46247.941328692126</v>
      </c>
    </row>
    <row r="9" ht="15.0" customHeight="1">
      <c r="A9" s="51">
        <v>32.0</v>
      </c>
      <c r="B9" s="51" t="s">
        <v>219</v>
      </c>
      <c r="C9" s="51" t="s">
        <v>258</v>
      </c>
      <c r="D9" s="51" t="s">
        <v>501</v>
      </c>
      <c r="E9" s="51" t="s">
        <v>509</v>
      </c>
      <c r="F9" s="51" t="s">
        <v>192</v>
      </c>
      <c r="G9" s="51" t="s">
        <v>308</v>
      </c>
      <c r="H9" s="52">
        <v>50.0</v>
      </c>
      <c r="I9" s="52">
        <v>-0.034</v>
      </c>
      <c r="J9" s="52">
        <v>1.8799999999999997</v>
      </c>
      <c r="K9" s="51">
        <v>6.0</v>
      </c>
      <c r="L9" s="51">
        <v>0.0</v>
      </c>
      <c r="M9" s="51" t="s">
        <v>342</v>
      </c>
      <c r="N9" s="51">
        <v>7.0</v>
      </c>
      <c r="O9" s="51" t="s">
        <v>504</v>
      </c>
      <c r="P9" s="52">
        <v>60.0</v>
      </c>
      <c r="Q9" s="52">
        <v>59.91189071469534</v>
      </c>
      <c r="R9" s="57">
        <v>46248.59295831018</v>
      </c>
      <c r="S9" s="57">
        <v>46248.59295831018</v>
      </c>
    </row>
    <row r="10" ht="15.0" customHeight="1">
      <c r="A10" s="51">
        <v>33.0</v>
      </c>
      <c r="B10" s="51" t="s">
        <v>369</v>
      </c>
      <c r="C10" s="51" t="s">
        <v>370</v>
      </c>
      <c r="D10" s="51" t="s">
        <v>501</v>
      </c>
      <c r="E10" s="51" t="s">
        <v>509</v>
      </c>
      <c r="F10" s="51" t="s">
        <v>192</v>
      </c>
      <c r="G10" s="51" t="s">
        <v>308</v>
      </c>
      <c r="H10" s="52">
        <v>20.0</v>
      </c>
      <c r="I10" s="52">
        <v>0.2</v>
      </c>
      <c r="J10" s="52">
        <v>0.594</v>
      </c>
      <c r="K10" s="51">
        <v>4.0</v>
      </c>
      <c r="L10" s="51">
        <v>0.0</v>
      </c>
      <c r="M10" s="51" t="s">
        <v>342</v>
      </c>
      <c r="N10" s="51">
        <v>7.0</v>
      </c>
      <c r="O10" s="51" t="s">
        <v>504</v>
      </c>
      <c r="P10" s="52">
        <v>0.0</v>
      </c>
      <c r="Q10" s="52">
        <v>0.0</v>
      </c>
      <c r="R10" s="57">
        <v>46248.60033270833</v>
      </c>
      <c r="S10" s="57">
        <v>46248.60033270833</v>
      </c>
    </row>
    <row r="11" ht="15.0" customHeight="1">
      <c r="A11" s="51">
        <v>34.0</v>
      </c>
      <c r="B11" s="51" t="s">
        <v>376</v>
      </c>
      <c r="C11" s="51" t="s">
        <v>370</v>
      </c>
      <c r="D11" s="51" t="s">
        <v>501</v>
      </c>
      <c r="E11" s="51" t="s">
        <v>509</v>
      </c>
      <c r="F11" s="51" t="s">
        <v>192</v>
      </c>
      <c r="G11" s="51" t="s">
        <v>308</v>
      </c>
      <c r="H11" s="52">
        <v>20.0</v>
      </c>
      <c r="I11" s="52">
        <v>0.2</v>
      </c>
      <c r="J11" s="52">
        <v>0.594</v>
      </c>
      <c r="K11" s="51">
        <v>4.0</v>
      </c>
      <c r="L11" s="51">
        <v>0.0</v>
      </c>
      <c r="M11" s="51" t="s">
        <v>342</v>
      </c>
      <c r="N11" s="51">
        <v>7.0</v>
      </c>
      <c r="O11" s="51" t="s">
        <v>504</v>
      </c>
      <c r="P11" s="52">
        <v>0.0</v>
      </c>
      <c r="Q11" s="52">
        <v>0.0</v>
      </c>
      <c r="R11" s="57">
        <v>46248.605127083334</v>
      </c>
      <c r="S11" s="57">
        <v>46248.605127083334</v>
      </c>
    </row>
    <row r="12" ht="15.0" customHeight="1">
      <c r="A12" s="51">
        <v>35.0</v>
      </c>
      <c r="B12" s="51" t="s">
        <v>380</v>
      </c>
      <c r="C12" s="51" t="s">
        <v>370</v>
      </c>
      <c r="D12" s="51" t="s">
        <v>501</v>
      </c>
      <c r="E12" s="51" t="s">
        <v>509</v>
      </c>
      <c r="F12" s="51" t="s">
        <v>192</v>
      </c>
      <c r="G12" s="51" t="s">
        <v>308</v>
      </c>
      <c r="H12" s="52">
        <v>20.0</v>
      </c>
      <c r="I12" s="52">
        <v>0.3</v>
      </c>
      <c r="J12" s="52">
        <v>0.608</v>
      </c>
      <c r="K12" s="51">
        <v>4.0</v>
      </c>
      <c r="L12" s="51">
        <v>0.0</v>
      </c>
      <c r="M12" s="51" t="s">
        <v>342</v>
      </c>
      <c r="N12" s="51">
        <v>7.0</v>
      </c>
      <c r="O12" s="51" t="s">
        <v>504</v>
      </c>
      <c r="P12" s="52">
        <v>0.0</v>
      </c>
      <c r="Q12" s="52">
        <v>0.0</v>
      </c>
      <c r="R12" s="57">
        <v>46248.60931825232</v>
      </c>
      <c r="S12" s="57">
        <v>46248.60931825232</v>
      </c>
    </row>
    <row r="13" ht="15.0" customHeight="1">
      <c r="A13" s="51">
        <v>36.0</v>
      </c>
      <c r="B13" s="51" t="s">
        <v>387</v>
      </c>
      <c r="C13" s="51" t="s">
        <v>370</v>
      </c>
      <c r="D13" s="51" t="s">
        <v>501</v>
      </c>
      <c r="E13" s="51" t="s">
        <v>509</v>
      </c>
      <c r="F13" s="51" t="s">
        <v>192</v>
      </c>
      <c r="G13" s="51" t="s">
        <v>308</v>
      </c>
      <c r="H13" s="52">
        <v>20.0</v>
      </c>
      <c r="I13" s="52">
        <v>0.3</v>
      </c>
      <c r="J13" s="52">
        <v>0.608</v>
      </c>
      <c r="K13" s="51">
        <v>4.0</v>
      </c>
      <c r="L13" s="51">
        <v>0.0</v>
      </c>
      <c r="M13" s="51" t="s">
        <v>342</v>
      </c>
      <c r="N13" s="51">
        <v>7.0</v>
      </c>
      <c r="O13" s="51" t="s">
        <v>504</v>
      </c>
      <c r="P13" s="52">
        <v>0.0</v>
      </c>
      <c r="Q13" s="52">
        <v>0.0</v>
      </c>
      <c r="R13" s="57">
        <v>46248.612156574076</v>
      </c>
      <c r="S13" s="57">
        <v>46248.612156574076</v>
      </c>
    </row>
    <row r="14" ht="15.0" customHeight="1">
      <c r="A14" s="51">
        <v>37.0</v>
      </c>
      <c r="B14" s="51" t="s">
        <v>394</v>
      </c>
      <c r="C14" s="51" t="s">
        <v>370</v>
      </c>
      <c r="D14" s="51" t="s">
        <v>501</v>
      </c>
      <c r="E14" s="51" t="s">
        <v>509</v>
      </c>
      <c r="F14" s="51" t="s">
        <v>192</v>
      </c>
      <c r="G14" s="51" t="s">
        <v>308</v>
      </c>
      <c r="H14" s="52">
        <v>30.0</v>
      </c>
      <c r="I14" s="52">
        <v>0.2</v>
      </c>
      <c r="J14" s="52">
        <v>1.053</v>
      </c>
      <c r="K14" s="51">
        <v>4.0</v>
      </c>
      <c r="L14" s="51">
        <v>0.0</v>
      </c>
      <c r="M14" s="51" t="s">
        <v>342</v>
      </c>
      <c r="N14" s="51">
        <v>7.0</v>
      </c>
      <c r="O14" s="51" t="s">
        <v>504</v>
      </c>
      <c r="P14" s="52">
        <v>0.0</v>
      </c>
      <c r="Q14" s="52">
        <v>0.0</v>
      </c>
      <c r="R14" s="57">
        <v>46248.61575712963</v>
      </c>
      <c r="S14" s="57">
        <v>46248.61575712963</v>
      </c>
    </row>
    <row r="15" ht="15.0" customHeight="1">
      <c r="A15" s="51">
        <v>38.0</v>
      </c>
      <c r="B15" s="51" t="s">
        <v>401</v>
      </c>
      <c r="C15" s="51" t="s">
        <v>370</v>
      </c>
      <c r="D15" s="51" t="s">
        <v>501</v>
      </c>
      <c r="E15" s="51" t="s">
        <v>509</v>
      </c>
      <c r="F15" s="51" t="s">
        <v>192</v>
      </c>
      <c r="G15" s="51" t="s">
        <v>308</v>
      </c>
      <c r="H15" s="52">
        <v>30.0</v>
      </c>
      <c r="I15" s="52">
        <v>0.2</v>
      </c>
      <c r="J15" s="52">
        <v>1.053</v>
      </c>
      <c r="K15" s="51">
        <v>4.0</v>
      </c>
      <c r="L15" s="51">
        <v>0.0</v>
      </c>
      <c r="M15" s="51" t="s">
        <v>342</v>
      </c>
      <c r="N15" s="51">
        <v>7.0</v>
      </c>
      <c r="O15" s="51" t="s">
        <v>504</v>
      </c>
      <c r="P15" s="52">
        <v>0.0</v>
      </c>
      <c r="Q15" s="52">
        <v>0.0</v>
      </c>
      <c r="R15" s="57">
        <v>46248.61884957176</v>
      </c>
      <c r="S15" s="57">
        <v>46248.61884957176</v>
      </c>
    </row>
    <row r="16" ht="15.0" customHeight="1">
      <c r="A16" s="51">
        <v>39.0</v>
      </c>
      <c r="B16" s="51" t="s">
        <v>408</v>
      </c>
      <c r="C16" s="51" t="s">
        <v>370</v>
      </c>
      <c r="D16" s="51" t="s">
        <v>501</v>
      </c>
      <c r="E16" s="51" t="s">
        <v>509</v>
      </c>
      <c r="F16" s="51" t="s">
        <v>192</v>
      </c>
      <c r="G16" s="51" t="s">
        <v>308</v>
      </c>
      <c r="H16" s="52">
        <v>30.0</v>
      </c>
      <c r="I16" s="52">
        <v>0.25</v>
      </c>
      <c r="J16" s="52">
        <v>1.074</v>
      </c>
      <c r="K16" s="51">
        <v>4.0</v>
      </c>
      <c r="L16" s="51">
        <v>0.0</v>
      </c>
      <c r="M16" s="51" t="s">
        <v>342</v>
      </c>
      <c r="N16" s="51">
        <v>7.0</v>
      </c>
      <c r="O16" s="51" t="s">
        <v>504</v>
      </c>
      <c r="P16" s="52">
        <v>0.0</v>
      </c>
      <c r="Q16" s="52">
        <v>0.0</v>
      </c>
      <c r="R16" s="57">
        <v>46248.62158054398</v>
      </c>
      <c r="S16" s="57">
        <v>46248.62158054398</v>
      </c>
    </row>
    <row r="17" ht="15.0" customHeight="1">
      <c r="A17" s="51">
        <v>43.0</v>
      </c>
      <c r="B17" s="51" t="s">
        <v>414</v>
      </c>
      <c r="C17" s="51" t="s">
        <v>370</v>
      </c>
      <c r="D17" s="51" t="s">
        <v>501</v>
      </c>
      <c r="E17" s="51" t="s">
        <v>509</v>
      </c>
      <c r="F17" s="51" t="s">
        <v>192</v>
      </c>
      <c r="G17" s="51" t="s">
        <v>308</v>
      </c>
      <c r="H17" s="52">
        <v>30.0</v>
      </c>
      <c r="I17" s="52">
        <v>0.25</v>
      </c>
      <c r="J17" s="52">
        <v>1.074</v>
      </c>
      <c r="K17" s="51">
        <v>4.0</v>
      </c>
      <c r="L17" s="51">
        <v>0.0</v>
      </c>
      <c r="M17" s="51" t="s">
        <v>342</v>
      </c>
      <c r="N17" s="51">
        <v>7.0</v>
      </c>
      <c r="O17" s="51" t="s">
        <v>504</v>
      </c>
      <c r="P17" s="52">
        <v>0.0</v>
      </c>
      <c r="Q17" s="52">
        <v>0.0</v>
      </c>
      <c r="R17" s="57">
        <v>46248.62944679398</v>
      </c>
      <c r="S17" s="57">
        <v>46248.62944679398</v>
      </c>
    </row>
    <row r="18" ht="15.0" customHeight="1">
      <c r="A18" s="51">
        <v>44.0</v>
      </c>
      <c r="B18" s="51" t="s">
        <v>418</v>
      </c>
      <c r="C18" s="51" t="s">
        <v>370</v>
      </c>
      <c r="D18" s="51" t="s">
        <v>501</v>
      </c>
      <c r="E18" s="51" t="s">
        <v>509</v>
      </c>
      <c r="F18" s="51" t="s">
        <v>192</v>
      </c>
      <c r="G18" s="51" t="s">
        <v>308</v>
      </c>
      <c r="H18" s="52">
        <v>20.0</v>
      </c>
      <c r="I18" s="52">
        <v>0.2</v>
      </c>
      <c r="J18" s="52">
        <v>0.594</v>
      </c>
      <c r="K18" s="51">
        <v>4.0</v>
      </c>
      <c r="L18" s="51">
        <v>0.0</v>
      </c>
      <c r="M18" s="51" t="s">
        <v>342</v>
      </c>
      <c r="N18" s="51">
        <v>7.0</v>
      </c>
      <c r="O18" s="51" t="s">
        <v>504</v>
      </c>
      <c r="P18" s="52">
        <v>0.0</v>
      </c>
      <c r="Q18" s="52">
        <v>0.0</v>
      </c>
      <c r="R18" s="57">
        <v>46249.899406909724</v>
      </c>
      <c r="S18" s="57">
        <v>46249.899406909724</v>
      </c>
    </row>
    <row r="19" ht="15.0" customHeight="1">
      <c r="A19" s="51">
        <v>45.0</v>
      </c>
      <c r="B19" s="51" t="s">
        <v>420</v>
      </c>
      <c r="C19" s="51" t="s">
        <v>370</v>
      </c>
      <c r="D19" s="51" t="s">
        <v>501</v>
      </c>
      <c r="E19" s="51" t="s">
        <v>509</v>
      </c>
      <c r="F19" s="51" t="s">
        <v>192</v>
      </c>
      <c r="G19" s="51" t="s">
        <v>308</v>
      </c>
      <c r="H19" s="52">
        <v>20.0</v>
      </c>
      <c r="I19" s="52">
        <v>0.2</v>
      </c>
      <c r="J19" s="52">
        <v>0.594</v>
      </c>
      <c r="K19" s="51">
        <v>4.0</v>
      </c>
      <c r="L19" s="51">
        <v>0.0</v>
      </c>
      <c r="M19" s="51" t="s">
        <v>342</v>
      </c>
      <c r="N19" s="51">
        <v>7.0</v>
      </c>
      <c r="O19" s="51" t="s">
        <v>504</v>
      </c>
      <c r="P19" s="52">
        <v>0.0</v>
      </c>
      <c r="Q19" s="52">
        <v>0.0</v>
      </c>
      <c r="R19" s="57">
        <v>46249.903867800924</v>
      </c>
      <c r="S19" s="57">
        <v>46249.903867800924</v>
      </c>
    </row>
    <row r="20" ht="15.0" customHeight="1">
      <c r="A20" s="51">
        <v>46.0</v>
      </c>
      <c r="B20" s="51" t="s">
        <v>423</v>
      </c>
      <c r="C20" s="51" t="s">
        <v>370</v>
      </c>
      <c r="D20" s="51" t="s">
        <v>501</v>
      </c>
      <c r="E20" s="51" t="s">
        <v>509</v>
      </c>
      <c r="F20" s="51" t="s">
        <v>192</v>
      </c>
      <c r="G20" s="51" t="s">
        <v>308</v>
      </c>
      <c r="H20" s="52">
        <v>20.0</v>
      </c>
      <c r="I20" s="52">
        <v>0.3</v>
      </c>
      <c r="J20" s="52">
        <v>0.608</v>
      </c>
      <c r="K20" s="51">
        <v>4.0</v>
      </c>
      <c r="L20" s="51">
        <v>0.0</v>
      </c>
      <c r="M20" s="51" t="s">
        <v>342</v>
      </c>
      <c r="N20" s="51">
        <v>7.0</v>
      </c>
      <c r="O20" s="51" t="s">
        <v>504</v>
      </c>
      <c r="P20" s="52">
        <v>0.0</v>
      </c>
      <c r="Q20" s="52">
        <v>0.0</v>
      </c>
      <c r="R20" s="57">
        <v>46249.907241643516</v>
      </c>
      <c r="S20" s="57">
        <v>46249.907241643516</v>
      </c>
    </row>
    <row r="21" ht="15.0" customHeight="1">
      <c r="A21" s="51">
        <v>47.0</v>
      </c>
      <c r="B21" s="51" t="s">
        <v>429</v>
      </c>
      <c r="C21" s="51" t="s">
        <v>370</v>
      </c>
      <c r="D21" s="51" t="s">
        <v>501</v>
      </c>
      <c r="E21" s="51" t="s">
        <v>509</v>
      </c>
      <c r="F21" s="51" t="s">
        <v>192</v>
      </c>
      <c r="G21" s="51" t="s">
        <v>308</v>
      </c>
      <c r="H21" s="52">
        <v>20.0</v>
      </c>
      <c r="I21" s="52">
        <v>0.3</v>
      </c>
      <c r="J21" s="52">
        <v>0.626</v>
      </c>
      <c r="K21" s="51">
        <v>4.0</v>
      </c>
      <c r="L21" s="51">
        <v>0.0</v>
      </c>
      <c r="M21" s="51" t="s">
        <v>342</v>
      </c>
      <c r="N21" s="51">
        <v>7.0</v>
      </c>
      <c r="O21" s="51" t="s">
        <v>504</v>
      </c>
      <c r="P21" s="52">
        <v>0.0</v>
      </c>
      <c r="Q21" s="52">
        <v>0.0</v>
      </c>
      <c r="R21" s="57">
        <v>46249.911768252314</v>
      </c>
      <c r="S21" s="57">
        <v>46249.911768252314</v>
      </c>
    </row>
    <row r="22" ht="15.0" customHeight="1">
      <c r="A22" s="51">
        <v>48.0</v>
      </c>
      <c r="B22" s="51" t="s">
        <v>434</v>
      </c>
      <c r="C22" s="51" t="s">
        <v>370</v>
      </c>
      <c r="D22" s="51" t="s">
        <v>501</v>
      </c>
      <c r="E22" s="51" t="s">
        <v>509</v>
      </c>
      <c r="F22" s="51" t="s">
        <v>192</v>
      </c>
      <c r="G22" s="51" t="s">
        <v>308</v>
      </c>
      <c r="H22" s="52">
        <v>30.0</v>
      </c>
      <c r="I22" s="52">
        <v>0.2</v>
      </c>
      <c r="J22" s="52">
        <v>1.089</v>
      </c>
      <c r="K22" s="51">
        <v>4.0</v>
      </c>
      <c r="L22" s="51">
        <v>0.0</v>
      </c>
      <c r="M22" s="51" t="s">
        <v>342</v>
      </c>
      <c r="N22" s="51">
        <v>7.0</v>
      </c>
      <c r="O22" s="51" t="s">
        <v>504</v>
      </c>
      <c r="P22" s="52">
        <v>0.0</v>
      </c>
      <c r="Q22" s="52">
        <v>0.0</v>
      </c>
      <c r="R22" s="57">
        <v>46249.91828157407</v>
      </c>
      <c r="S22" s="57">
        <v>46249.91828157407</v>
      </c>
    </row>
    <row r="23" ht="15.0" customHeight="1">
      <c r="A23" s="51">
        <v>49.0</v>
      </c>
      <c r="B23" s="51" t="s">
        <v>436</v>
      </c>
      <c r="C23" s="51" t="s">
        <v>370</v>
      </c>
      <c r="D23" s="51" t="s">
        <v>501</v>
      </c>
      <c r="E23" s="51" t="s">
        <v>509</v>
      </c>
      <c r="F23" s="51" t="s">
        <v>192</v>
      </c>
      <c r="G23" s="51" t="s">
        <v>308</v>
      </c>
      <c r="H23" s="52">
        <v>30.0</v>
      </c>
      <c r="I23" s="52">
        <v>0.2</v>
      </c>
      <c r="J23" s="52">
        <v>1.053</v>
      </c>
      <c r="K23" s="51">
        <v>4.0</v>
      </c>
      <c r="L23" s="51">
        <v>0.0</v>
      </c>
      <c r="M23" s="51" t="s">
        <v>342</v>
      </c>
      <c r="N23" s="51">
        <v>7.0</v>
      </c>
      <c r="O23" s="51" t="s">
        <v>504</v>
      </c>
      <c r="P23" s="52">
        <v>0.0</v>
      </c>
      <c r="Q23" s="52">
        <v>0.0</v>
      </c>
      <c r="R23" s="57">
        <v>46249.922526539354</v>
      </c>
      <c r="S23" s="57">
        <v>46249.922526539354</v>
      </c>
    </row>
    <row r="24" ht="15.0" customHeight="1">
      <c r="A24" s="51">
        <v>50.0</v>
      </c>
      <c r="B24" s="51" t="s">
        <v>439</v>
      </c>
      <c r="C24" s="51" t="s">
        <v>370</v>
      </c>
      <c r="D24" s="51" t="s">
        <v>501</v>
      </c>
      <c r="E24" s="51" t="s">
        <v>509</v>
      </c>
      <c r="F24" s="51" t="s">
        <v>192</v>
      </c>
      <c r="G24" s="51" t="s">
        <v>308</v>
      </c>
      <c r="H24" s="52">
        <v>30.0</v>
      </c>
      <c r="I24" s="52">
        <v>0.25</v>
      </c>
      <c r="J24" s="52">
        <v>1.074</v>
      </c>
      <c r="K24" s="51">
        <v>4.0</v>
      </c>
      <c r="L24" s="51">
        <v>0.0</v>
      </c>
      <c r="M24" s="51" t="s">
        <v>342</v>
      </c>
      <c r="N24" s="51">
        <v>7.0</v>
      </c>
      <c r="O24" s="51" t="s">
        <v>504</v>
      </c>
      <c r="P24" s="52">
        <v>0.0</v>
      </c>
      <c r="Q24" s="52">
        <v>0.0</v>
      </c>
      <c r="R24" s="57">
        <v>46249.92670207176</v>
      </c>
      <c r="S24" s="57">
        <v>46249.92670207176</v>
      </c>
    </row>
    <row r="25" ht="15.0" customHeight="1">
      <c r="A25" s="51">
        <v>51.0</v>
      </c>
      <c r="B25" s="51" t="s">
        <v>444</v>
      </c>
      <c r="C25" s="51" t="s">
        <v>370</v>
      </c>
      <c r="D25" s="51" t="s">
        <v>501</v>
      </c>
      <c r="E25" s="51" t="s">
        <v>509</v>
      </c>
      <c r="F25" s="51" t="s">
        <v>192</v>
      </c>
      <c r="G25" s="51" t="s">
        <v>308</v>
      </c>
      <c r="H25" s="52">
        <v>30.0</v>
      </c>
      <c r="I25" s="52">
        <v>0.25</v>
      </c>
      <c r="J25" s="52">
        <v>1.074</v>
      </c>
      <c r="K25" s="51">
        <v>4.0</v>
      </c>
      <c r="L25" s="51">
        <v>0.0</v>
      </c>
      <c r="M25" s="51" t="s">
        <v>342</v>
      </c>
      <c r="N25" s="51">
        <v>7.0</v>
      </c>
      <c r="O25" s="51" t="s">
        <v>504</v>
      </c>
      <c r="P25" s="52">
        <v>0.0</v>
      </c>
      <c r="Q25" s="52">
        <v>0.0</v>
      </c>
      <c r="R25" s="57">
        <v>46249.931709756944</v>
      </c>
      <c r="S25" s="57">
        <v>46249.931709756944</v>
      </c>
    </row>
    <row r="26" ht="15.0" customHeight="1">
      <c r="A26" s="51">
        <v>52.0</v>
      </c>
      <c r="B26" s="51" t="s">
        <v>448</v>
      </c>
      <c r="C26" s="51" t="s">
        <v>370</v>
      </c>
      <c r="D26" s="51" t="s">
        <v>501</v>
      </c>
      <c r="E26" s="51" t="s">
        <v>509</v>
      </c>
      <c r="F26" s="51" t="s">
        <v>192</v>
      </c>
      <c r="G26" s="51" t="s">
        <v>308</v>
      </c>
      <c r="H26" s="52">
        <v>20.0</v>
      </c>
      <c r="I26" s="52">
        <v>0.2</v>
      </c>
      <c r="J26" s="52">
        <v>0.594</v>
      </c>
      <c r="K26" s="51">
        <v>4.0</v>
      </c>
      <c r="L26" s="51">
        <v>0.0</v>
      </c>
      <c r="M26" s="51" t="s">
        <v>342</v>
      </c>
      <c r="N26" s="51">
        <v>7.0</v>
      </c>
      <c r="O26" s="51" t="s">
        <v>504</v>
      </c>
      <c r="P26" s="52">
        <v>0.0</v>
      </c>
      <c r="Q26" s="52">
        <v>0.0</v>
      </c>
      <c r="R26" s="57">
        <v>46249.98345503472</v>
      </c>
      <c r="S26" s="57">
        <v>46249.98345503472</v>
      </c>
    </row>
    <row r="27" ht="15.0" customHeight="1">
      <c r="A27" s="51">
        <v>53.0</v>
      </c>
      <c r="B27" s="51" t="s">
        <v>453</v>
      </c>
      <c r="C27" s="51" t="s">
        <v>370</v>
      </c>
      <c r="D27" s="51" t="s">
        <v>501</v>
      </c>
      <c r="E27" s="51" t="s">
        <v>509</v>
      </c>
      <c r="F27" s="51" t="s">
        <v>192</v>
      </c>
      <c r="G27" s="51" t="s">
        <v>308</v>
      </c>
      <c r="H27" s="52">
        <v>20.0</v>
      </c>
      <c r="I27" s="52">
        <v>0.2</v>
      </c>
      <c r="J27" s="52">
        <v>0.594</v>
      </c>
      <c r="K27" s="51">
        <v>4.0</v>
      </c>
      <c r="L27" s="51">
        <v>0.0</v>
      </c>
      <c r="M27" s="51" t="s">
        <v>342</v>
      </c>
      <c r="N27" s="51">
        <v>7.0</v>
      </c>
      <c r="O27" s="51" t="s">
        <v>504</v>
      </c>
      <c r="P27" s="52">
        <v>0.0</v>
      </c>
      <c r="Q27" s="52">
        <v>0.0</v>
      </c>
      <c r="R27" s="57">
        <v>46249.985451423614</v>
      </c>
      <c r="S27" s="57">
        <v>46249.985451423614</v>
      </c>
    </row>
    <row r="28" ht="15.0" customHeight="1">
      <c r="A28" s="51">
        <v>54.0</v>
      </c>
      <c r="B28" s="51" t="s">
        <v>456</v>
      </c>
      <c r="C28" s="51" t="s">
        <v>370</v>
      </c>
      <c r="D28" s="51" t="s">
        <v>501</v>
      </c>
      <c r="E28" s="51" t="s">
        <v>509</v>
      </c>
      <c r="F28" s="51" t="s">
        <v>192</v>
      </c>
      <c r="G28" s="51" t="s">
        <v>308</v>
      </c>
      <c r="H28" s="52">
        <v>20.0</v>
      </c>
      <c r="I28" s="52">
        <v>0.3</v>
      </c>
      <c r="J28" s="52">
        <v>0.608</v>
      </c>
      <c r="K28" s="51">
        <v>4.0</v>
      </c>
      <c r="L28" s="51">
        <v>0.0</v>
      </c>
      <c r="M28" s="51" t="s">
        <v>342</v>
      </c>
      <c r="N28" s="51">
        <v>7.0</v>
      </c>
      <c r="O28" s="51" t="s">
        <v>504</v>
      </c>
      <c r="P28" s="52">
        <v>0.0</v>
      </c>
      <c r="Q28" s="52">
        <v>0.0</v>
      </c>
      <c r="R28" s="57">
        <v>46249.98795188657</v>
      </c>
      <c r="S28" s="57">
        <v>46249.98795188657</v>
      </c>
    </row>
    <row r="29" ht="15.0" customHeight="1">
      <c r="A29" s="51">
        <v>55.0</v>
      </c>
      <c r="B29" s="51" t="s">
        <v>387</v>
      </c>
      <c r="C29" s="51" t="s">
        <v>370</v>
      </c>
      <c r="D29" s="51" t="s">
        <v>501</v>
      </c>
      <c r="E29" s="51" t="s">
        <v>509</v>
      </c>
      <c r="F29" s="51" t="s">
        <v>192</v>
      </c>
      <c r="G29" s="51" t="s">
        <v>308</v>
      </c>
      <c r="H29" s="52">
        <v>20.0</v>
      </c>
      <c r="I29" s="52">
        <v>0.3</v>
      </c>
      <c r="J29" s="52">
        <v>0.608</v>
      </c>
      <c r="K29" s="51">
        <v>4.0</v>
      </c>
      <c r="L29" s="51">
        <v>0.0</v>
      </c>
      <c r="M29" s="51" t="s">
        <v>342</v>
      </c>
      <c r="N29" s="51">
        <v>7.0</v>
      </c>
      <c r="O29" s="51" t="s">
        <v>504</v>
      </c>
      <c r="P29" s="52">
        <v>0.0</v>
      </c>
      <c r="Q29" s="52">
        <v>0.0</v>
      </c>
      <c r="R29" s="57">
        <v>46249.990240439816</v>
      </c>
      <c r="S29" s="57">
        <v>46249.990240439816</v>
      </c>
    </row>
    <row r="30" ht="15.0" customHeight="1">
      <c r="A30" s="51">
        <v>56.0</v>
      </c>
      <c r="B30" s="51" t="s">
        <v>463</v>
      </c>
      <c r="C30" s="51" t="s">
        <v>370</v>
      </c>
      <c r="D30" s="51" t="s">
        <v>501</v>
      </c>
      <c r="E30" s="51" t="s">
        <v>509</v>
      </c>
      <c r="F30" s="51" t="s">
        <v>192</v>
      </c>
      <c r="G30" s="51" t="s">
        <v>308</v>
      </c>
      <c r="H30" s="52">
        <v>30.0</v>
      </c>
      <c r="I30" s="52">
        <v>0.2</v>
      </c>
      <c r="J30" s="52">
        <v>1.053</v>
      </c>
      <c r="K30" s="51">
        <v>4.0</v>
      </c>
      <c r="L30" s="51">
        <v>0.0</v>
      </c>
      <c r="M30" s="51" t="s">
        <v>342</v>
      </c>
      <c r="N30" s="51">
        <v>7.0</v>
      </c>
      <c r="O30" s="51" t="s">
        <v>504</v>
      </c>
      <c r="P30" s="52">
        <v>0.0</v>
      </c>
      <c r="Q30" s="52">
        <v>0.0</v>
      </c>
      <c r="R30" s="57">
        <v>46249.992478472224</v>
      </c>
      <c r="S30" s="57">
        <v>46249.99247848379</v>
      </c>
    </row>
    <row r="31" ht="15.0" customHeight="1">
      <c r="A31" s="51">
        <v>57.0</v>
      </c>
      <c r="B31" s="51" t="s">
        <v>467</v>
      </c>
      <c r="C31" s="51" t="s">
        <v>370</v>
      </c>
      <c r="D31" s="51" t="s">
        <v>501</v>
      </c>
      <c r="E31" s="51" t="s">
        <v>509</v>
      </c>
      <c r="F31" s="51" t="s">
        <v>192</v>
      </c>
      <c r="G31" s="51" t="s">
        <v>308</v>
      </c>
      <c r="H31" s="52">
        <v>30.0</v>
      </c>
      <c r="I31" s="52">
        <v>0.2</v>
      </c>
      <c r="J31" s="52">
        <v>1.053</v>
      </c>
      <c r="K31" s="51">
        <v>4.0</v>
      </c>
      <c r="L31" s="51">
        <v>0.0</v>
      </c>
      <c r="M31" s="51" t="s">
        <v>342</v>
      </c>
      <c r="N31" s="51">
        <v>7.0</v>
      </c>
      <c r="O31" s="51" t="s">
        <v>504</v>
      </c>
      <c r="P31" s="52">
        <v>0.0</v>
      </c>
      <c r="Q31" s="52">
        <v>0.0</v>
      </c>
      <c r="R31" s="57">
        <v>46249.994475162035</v>
      </c>
      <c r="S31" s="57">
        <v>46249.994475162035</v>
      </c>
    </row>
    <row r="32" ht="15.0" customHeight="1">
      <c r="A32" s="51">
        <v>58.0</v>
      </c>
      <c r="B32" s="51" t="s">
        <v>471</v>
      </c>
      <c r="C32" s="51" t="s">
        <v>370</v>
      </c>
      <c r="D32" s="51" t="s">
        <v>501</v>
      </c>
      <c r="E32" s="51" t="s">
        <v>509</v>
      </c>
      <c r="F32" s="51" t="s">
        <v>192</v>
      </c>
      <c r="G32" s="51" t="s">
        <v>308</v>
      </c>
      <c r="H32" s="52">
        <v>30.0</v>
      </c>
      <c r="I32" s="52">
        <v>0.25</v>
      </c>
      <c r="J32" s="52">
        <v>1.074</v>
      </c>
      <c r="K32" s="51">
        <v>4.0</v>
      </c>
      <c r="L32" s="51">
        <v>0.0</v>
      </c>
      <c r="M32" s="51" t="s">
        <v>342</v>
      </c>
      <c r="N32" s="51">
        <v>7.0</v>
      </c>
      <c r="O32" s="51" t="s">
        <v>504</v>
      </c>
      <c r="P32" s="52">
        <v>0.0</v>
      </c>
      <c r="Q32" s="52">
        <v>0.0</v>
      </c>
      <c r="R32" s="57">
        <v>46249.99652601852</v>
      </c>
      <c r="S32" s="57">
        <v>46249.99652601852</v>
      </c>
    </row>
    <row r="33" ht="15.0" customHeight="1">
      <c r="A33" s="51">
        <v>59.0</v>
      </c>
      <c r="B33" s="51" t="s">
        <v>474</v>
      </c>
      <c r="C33" s="51" t="s">
        <v>370</v>
      </c>
      <c r="D33" s="51" t="s">
        <v>501</v>
      </c>
      <c r="E33" s="51" t="s">
        <v>509</v>
      </c>
      <c r="F33" s="51" t="s">
        <v>192</v>
      </c>
      <c r="G33" s="51" t="s">
        <v>308</v>
      </c>
      <c r="H33" s="52">
        <v>30.0</v>
      </c>
      <c r="I33" s="52">
        <v>0.25</v>
      </c>
      <c r="J33" s="52">
        <v>1.074</v>
      </c>
      <c r="K33" s="51">
        <v>4.0</v>
      </c>
      <c r="L33" s="51">
        <v>0.0</v>
      </c>
      <c r="M33" s="51" t="s">
        <v>342</v>
      </c>
      <c r="N33" s="51">
        <v>7.0</v>
      </c>
      <c r="O33" s="51" t="s">
        <v>504</v>
      </c>
      <c r="P33" s="52">
        <v>0.0</v>
      </c>
      <c r="Q33" s="52">
        <v>0.0</v>
      </c>
      <c r="R33" s="57">
        <v>46249.99873423611</v>
      </c>
      <c r="S33" s="57">
        <v>46249.99873423611</v>
      </c>
    </row>
    <row r="34" ht="15.0" customHeight="1">
      <c r="A34" s="51">
        <v>60.0</v>
      </c>
      <c r="B34" s="51" t="s">
        <v>476</v>
      </c>
      <c r="C34" s="51" t="s">
        <v>370</v>
      </c>
      <c r="D34" s="51" t="s">
        <v>501</v>
      </c>
      <c r="E34" s="51" t="s">
        <v>509</v>
      </c>
      <c r="F34" s="51" t="s">
        <v>192</v>
      </c>
      <c r="G34" s="51" t="s">
        <v>308</v>
      </c>
      <c r="H34" s="52">
        <v>80.0</v>
      </c>
      <c r="I34" s="52">
        <v>0.5</v>
      </c>
      <c r="J34" s="52">
        <v>2.56</v>
      </c>
      <c r="K34" s="51">
        <v>8.0</v>
      </c>
      <c r="L34" s="51">
        <v>0.0</v>
      </c>
      <c r="M34" s="51" t="s">
        <v>342</v>
      </c>
      <c r="N34" s="51">
        <v>7.0</v>
      </c>
      <c r="O34" s="51" t="s">
        <v>555</v>
      </c>
      <c r="P34" s="52"/>
      <c r="Q34" s="52">
        <v>0.0</v>
      </c>
      <c r="R34" s="57">
        <v>46250.00196671296</v>
      </c>
      <c r="S34" s="57">
        <v>46250.00196671296</v>
      </c>
    </row>
    <row r="35" ht="15.0" customHeight="1">
      <c r="A35" s="51">
        <v>61.0</v>
      </c>
      <c r="B35" s="51" t="s">
        <v>480</v>
      </c>
      <c r="C35" s="51" t="s">
        <v>370</v>
      </c>
      <c r="D35" s="51" t="s">
        <v>501</v>
      </c>
      <c r="E35" s="51" t="s">
        <v>509</v>
      </c>
      <c r="F35" s="51" t="s">
        <v>192</v>
      </c>
      <c r="G35" s="51" t="s">
        <v>308</v>
      </c>
      <c r="H35" s="52">
        <v>70.0</v>
      </c>
      <c r="I35" s="52">
        <v>0.4</v>
      </c>
      <c r="J35" s="52">
        <v>2.1069999999999998</v>
      </c>
      <c r="K35" s="51">
        <v>8.0</v>
      </c>
      <c r="L35" s="51">
        <v>0.0</v>
      </c>
      <c r="M35" s="51" t="s">
        <v>342</v>
      </c>
      <c r="N35" s="51">
        <v>7.0</v>
      </c>
      <c r="O35" s="51" t="s">
        <v>555</v>
      </c>
      <c r="P35" s="52"/>
      <c r="Q35" s="52">
        <v>0.0</v>
      </c>
      <c r="R35" s="57">
        <v>46250.00958421296</v>
      </c>
      <c r="S35" s="57">
        <v>46250.00958421296</v>
      </c>
    </row>
    <row r="36" ht="15.0" customHeight="1">
      <c r="A36" s="51">
        <v>62.0</v>
      </c>
      <c r="B36" s="51" t="s">
        <v>484</v>
      </c>
      <c r="C36" s="51" t="s">
        <v>370</v>
      </c>
      <c r="D36" s="51" t="s">
        <v>501</v>
      </c>
      <c r="E36" s="51" t="s">
        <v>509</v>
      </c>
      <c r="F36" s="51" t="s">
        <v>192</v>
      </c>
      <c r="G36" s="51" t="s">
        <v>308</v>
      </c>
      <c r="H36" s="52">
        <v>70.0</v>
      </c>
      <c r="I36" s="52">
        <v>0.3</v>
      </c>
      <c r="J36" s="52">
        <v>2.758</v>
      </c>
      <c r="K36" s="51">
        <v>8.0</v>
      </c>
      <c r="L36" s="51">
        <v>0.0</v>
      </c>
      <c r="M36" s="51" t="s">
        <v>342</v>
      </c>
      <c r="N36" s="51">
        <v>7.0</v>
      </c>
      <c r="O36" s="51" t="s">
        <v>555</v>
      </c>
      <c r="P36" s="52"/>
      <c r="Q36" s="52">
        <v>0.0</v>
      </c>
      <c r="R36" s="57">
        <v>46250.01568366898</v>
      </c>
      <c r="S36" s="57">
        <v>46250.01568366898</v>
      </c>
    </row>
    <row r="37" ht="15.0" customHeight="1">
      <c r="A37" s="51">
        <v>63.0</v>
      </c>
      <c r="B37" s="51" t="s">
        <v>485</v>
      </c>
      <c r="C37" s="51" t="s">
        <v>370</v>
      </c>
      <c r="D37" s="51" t="s">
        <v>501</v>
      </c>
      <c r="E37" s="51" t="s">
        <v>509</v>
      </c>
      <c r="F37" s="51" t="s">
        <v>192</v>
      </c>
      <c r="G37" s="51" t="s">
        <v>308</v>
      </c>
      <c r="H37" s="52">
        <v>60.0</v>
      </c>
      <c r="I37" s="52">
        <v>0.4</v>
      </c>
      <c r="J37" s="52">
        <v>2.016</v>
      </c>
      <c r="K37" s="51">
        <v>8.0</v>
      </c>
      <c r="L37" s="51">
        <v>0.0</v>
      </c>
      <c r="M37" s="51" t="s">
        <v>342</v>
      </c>
      <c r="N37" s="51">
        <v>7.0</v>
      </c>
      <c r="O37" s="51" t="s">
        <v>555</v>
      </c>
      <c r="P37" s="52"/>
      <c r="Q37" s="52">
        <v>0.0</v>
      </c>
      <c r="R37" s="57">
        <v>46250.02073979167</v>
      </c>
      <c r="S37" s="57">
        <v>46250.02073979167</v>
      </c>
    </row>
    <row r="38" ht="15.0" customHeight="1">
      <c r="A38" s="51">
        <v>64.0</v>
      </c>
      <c r="B38" s="51" t="s">
        <v>495</v>
      </c>
      <c r="C38" s="51" t="s">
        <v>370</v>
      </c>
      <c r="D38" s="51" t="s">
        <v>501</v>
      </c>
      <c r="E38" s="51" t="s">
        <v>509</v>
      </c>
      <c r="F38" s="51" t="s">
        <v>192</v>
      </c>
      <c r="G38" s="51" t="s">
        <v>308</v>
      </c>
      <c r="H38" s="52">
        <v>60.0</v>
      </c>
      <c r="I38" s="52">
        <v>0.3</v>
      </c>
      <c r="J38" s="52">
        <v>1.656</v>
      </c>
      <c r="K38" s="51">
        <v>8.0</v>
      </c>
      <c r="L38" s="51">
        <v>0.0</v>
      </c>
      <c r="M38" s="51" t="s">
        <v>342</v>
      </c>
      <c r="N38" s="51">
        <v>7.0</v>
      </c>
      <c r="O38" s="51" t="s">
        <v>555</v>
      </c>
      <c r="P38" s="52"/>
      <c r="Q38" s="52">
        <v>0.0</v>
      </c>
      <c r="R38" s="57">
        <v>46250.025338576386</v>
      </c>
      <c r="S38" s="57">
        <v>46250.025338576386</v>
      </c>
    </row>
    <row r="39" ht="15.0" customHeight="1">
      <c r="A39" s="51">
        <v>65.0</v>
      </c>
      <c r="B39" s="51" t="s">
        <v>506</v>
      </c>
      <c r="C39" s="51" t="s">
        <v>370</v>
      </c>
      <c r="D39" s="51" t="s">
        <v>501</v>
      </c>
      <c r="E39" s="51" t="s">
        <v>509</v>
      </c>
      <c r="F39" s="51" t="s">
        <v>192</v>
      </c>
      <c r="G39" s="51" t="s">
        <v>308</v>
      </c>
      <c r="H39" s="52">
        <v>50.0</v>
      </c>
      <c r="I39" s="52">
        <v>0.4</v>
      </c>
      <c r="J39" s="52">
        <v>1.925</v>
      </c>
      <c r="K39" s="51">
        <v>8.0</v>
      </c>
      <c r="L39" s="51">
        <v>0.0</v>
      </c>
      <c r="M39" s="51" t="s">
        <v>342</v>
      </c>
      <c r="N39" s="51">
        <v>7.0</v>
      </c>
      <c r="O39" s="51" t="s">
        <v>555</v>
      </c>
      <c r="P39" s="52"/>
      <c r="Q39" s="52">
        <v>0.0</v>
      </c>
      <c r="R39" s="57">
        <v>46250.030113217595</v>
      </c>
      <c r="S39" s="57">
        <v>46250.030113217595</v>
      </c>
    </row>
    <row r="40" ht="15.0" customHeight="1">
      <c r="A40" s="51">
        <v>66.0</v>
      </c>
      <c r="B40" s="51" t="s">
        <v>510</v>
      </c>
      <c r="C40" s="51" t="s">
        <v>370</v>
      </c>
      <c r="D40" s="51" t="s">
        <v>501</v>
      </c>
      <c r="E40" s="51" t="s">
        <v>509</v>
      </c>
      <c r="F40" s="51" t="s">
        <v>192</v>
      </c>
      <c r="G40" s="51" t="s">
        <v>308</v>
      </c>
      <c r="H40" s="52">
        <v>50.0</v>
      </c>
      <c r="I40" s="52">
        <v>0.3</v>
      </c>
      <c r="J40" s="52">
        <v>1.5650000000000002</v>
      </c>
      <c r="K40" s="51">
        <v>8.0</v>
      </c>
      <c r="L40" s="51">
        <v>0.0</v>
      </c>
      <c r="M40" s="51" t="s">
        <v>342</v>
      </c>
      <c r="N40" s="51">
        <v>7.0</v>
      </c>
      <c r="O40" s="51" t="s">
        <v>555</v>
      </c>
      <c r="P40" s="52"/>
      <c r="Q40" s="52">
        <v>0.0</v>
      </c>
      <c r="R40" s="57">
        <v>46250.08351615741</v>
      </c>
      <c r="S40" s="57">
        <v>46250.08351615741</v>
      </c>
    </row>
    <row r="41" ht="15.0" customHeight="1">
      <c r="A41" s="51">
        <v>67.0</v>
      </c>
      <c r="B41" s="51" t="s">
        <v>514</v>
      </c>
      <c r="C41" s="51" t="s">
        <v>370</v>
      </c>
      <c r="D41" s="51" t="s">
        <v>501</v>
      </c>
      <c r="E41" s="51" t="s">
        <v>509</v>
      </c>
      <c r="F41" s="51" t="s">
        <v>192</v>
      </c>
      <c r="G41" s="51" t="s">
        <v>308</v>
      </c>
      <c r="H41" s="52">
        <v>60.0</v>
      </c>
      <c r="I41" s="52">
        <v>0.4</v>
      </c>
      <c r="J41" s="52">
        <v>2.0820000000000003</v>
      </c>
      <c r="K41" s="51">
        <v>8.0</v>
      </c>
      <c r="L41" s="51">
        <v>0.0</v>
      </c>
      <c r="M41" s="51" t="s">
        <v>342</v>
      </c>
      <c r="N41" s="51">
        <v>7.0</v>
      </c>
      <c r="O41" s="51" t="s">
        <v>504</v>
      </c>
      <c r="P41" s="52">
        <v>0.0</v>
      </c>
      <c r="Q41" s="52">
        <v>0.0</v>
      </c>
      <c r="R41" s="57">
        <v>46250.09035936343</v>
      </c>
      <c r="S41" s="57">
        <v>46250.09035936343</v>
      </c>
    </row>
    <row r="42" ht="15.0" customHeight="1">
      <c r="A42" s="51">
        <v>68.0</v>
      </c>
      <c r="B42" s="51" t="s">
        <v>517</v>
      </c>
      <c r="C42" s="51" t="s">
        <v>370</v>
      </c>
      <c r="D42" s="51" t="s">
        <v>501</v>
      </c>
      <c r="E42" s="51" t="s">
        <v>509</v>
      </c>
      <c r="F42" s="51" t="s">
        <v>192</v>
      </c>
      <c r="G42" s="51" t="s">
        <v>308</v>
      </c>
      <c r="H42" s="52">
        <v>40.0</v>
      </c>
      <c r="I42" s="52">
        <v>0.4</v>
      </c>
      <c r="J42" s="52">
        <v>1.1640000000000001</v>
      </c>
      <c r="K42" s="51">
        <v>8.0</v>
      </c>
      <c r="L42" s="51">
        <v>0.0</v>
      </c>
      <c r="M42" s="51" t="s">
        <v>342</v>
      </c>
      <c r="N42" s="51">
        <v>7.0</v>
      </c>
      <c r="O42" s="51" t="s">
        <v>504</v>
      </c>
      <c r="P42" s="52">
        <v>0.0</v>
      </c>
      <c r="Q42" s="52">
        <v>0.0</v>
      </c>
      <c r="R42" s="57">
        <v>46250.092624398145</v>
      </c>
      <c r="S42" s="57">
        <v>46250.092624398145</v>
      </c>
    </row>
    <row r="43" ht="15.0" customHeight="1">
      <c r="A43" s="51">
        <v>69.0</v>
      </c>
      <c r="B43" s="51" t="s">
        <v>521</v>
      </c>
      <c r="C43" s="51" t="s">
        <v>370</v>
      </c>
      <c r="D43" s="51" t="s">
        <v>501</v>
      </c>
      <c r="E43" s="51" t="s">
        <v>509</v>
      </c>
      <c r="F43" s="51" t="s">
        <v>192</v>
      </c>
      <c r="G43" s="51" t="s">
        <v>308</v>
      </c>
      <c r="H43" s="52">
        <v>30.0</v>
      </c>
      <c r="I43" s="52">
        <v>0.3</v>
      </c>
      <c r="J43" s="52">
        <v>0.8790000000000001</v>
      </c>
      <c r="K43" s="51">
        <v>8.0</v>
      </c>
      <c r="L43" s="51">
        <v>0.0</v>
      </c>
      <c r="M43" s="51" t="s">
        <v>342</v>
      </c>
      <c r="N43" s="51">
        <v>7.0</v>
      </c>
      <c r="O43" s="51" t="s">
        <v>504</v>
      </c>
      <c r="P43" s="52">
        <v>0.0</v>
      </c>
      <c r="Q43" s="52">
        <v>0.0</v>
      </c>
      <c r="R43" s="57">
        <v>46250.09495795139</v>
      </c>
      <c r="S43" s="57">
        <v>46250.09495795139</v>
      </c>
    </row>
    <row r="44" ht="15.0" customHeight="1">
      <c r="A44" s="51">
        <v>70.0</v>
      </c>
      <c r="B44" s="51" t="s">
        <v>524</v>
      </c>
      <c r="C44" s="51" t="s">
        <v>370</v>
      </c>
      <c r="D44" s="51" t="s">
        <v>501</v>
      </c>
      <c r="E44" s="51" t="s">
        <v>509</v>
      </c>
      <c r="F44" s="51" t="s">
        <v>192</v>
      </c>
      <c r="G44" s="51" t="s">
        <v>308</v>
      </c>
      <c r="H44" s="52">
        <v>20.0</v>
      </c>
      <c r="I44" s="52">
        <v>0.3</v>
      </c>
      <c r="J44" s="52">
        <v>0.608</v>
      </c>
      <c r="K44" s="51">
        <v>8.0</v>
      </c>
      <c r="L44" s="51">
        <v>0.0</v>
      </c>
      <c r="M44" s="51" t="s">
        <v>342</v>
      </c>
      <c r="N44" s="51">
        <v>7.0</v>
      </c>
      <c r="O44" s="51" t="s">
        <v>504</v>
      </c>
      <c r="P44" s="52">
        <v>0.0</v>
      </c>
      <c r="Q44" s="52">
        <v>0.0</v>
      </c>
      <c r="R44" s="57">
        <v>46250.09719039352</v>
      </c>
      <c r="S44" s="57">
        <v>46250.09719039352</v>
      </c>
    </row>
    <row r="45" ht="15.0" customHeight="1">
      <c r="A45" s="51">
        <v>71.0</v>
      </c>
      <c r="B45" s="51" t="s">
        <v>527</v>
      </c>
      <c r="C45" s="51" t="s">
        <v>370</v>
      </c>
      <c r="D45" s="51" t="s">
        <v>501</v>
      </c>
      <c r="E45" s="51" t="s">
        <v>509</v>
      </c>
      <c r="F45" s="51" t="s">
        <v>192</v>
      </c>
      <c r="G45" s="51" t="s">
        <v>308</v>
      </c>
      <c r="H45" s="52">
        <v>20.0</v>
      </c>
      <c r="I45" s="52">
        <v>0.2</v>
      </c>
      <c r="J45" s="52">
        <v>0.594</v>
      </c>
      <c r="K45" s="51">
        <v>8.0</v>
      </c>
      <c r="L45" s="51">
        <v>0.0</v>
      </c>
      <c r="M45" s="51" t="s">
        <v>342</v>
      </c>
      <c r="N45" s="51">
        <v>7.0</v>
      </c>
      <c r="O45" s="51" t="s">
        <v>504</v>
      </c>
      <c r="P45" s="52">
        <v>0.0</v>
      </c>
      <c r="Q45" s="52">
        <v>0.0</v>
      </c>
      <c r="R45" s="57">
        <v>46250.09973622685</v>
      </c>
      <c r="S45" s="57">
        <v>46250.09973622685</v>
      </c>
    </row>
    <row r="46" ht="15.0" customHeight="1">
      <c r="A46" s="51">
        <v>72.0</v>
      </c>
      <c r="B46" s="51" t="s">
        <v>530</v>
      </c>
      <c r="C46" s="51" t="s">
        <v>370</v>
      </c>
      <c r="D46" s="51" t="s">
        <v>501</v>
      </c>
      <c r="E46" s="51" t="s">
        <v>509</v>
      </c>
      <c r="F46" s="51" t="s">
        <v>192</v>
      </c>
      <c r="G46" s="51" t="s">
        <v>308</v>
      </c>
      <c r="H46" s="52">
        <v>30.0</v>
      </c>
      <c r="I46" s="52">
        <v>0.3</v>
      </c>
      <c r="J46" s="52">
        <v>0.8790000000000001</v>
      </c>
      <c r="K46" s="51">
        <v>4.0</v>
      </c>
      <c r="L46" s="51">
        <v>0.0</v>
      </c>
      <c r="M46" s="51" t="s">
        <v>342</v>
      </c>
      <c r="N46" s="51">
        <v>7.0</v>
      </c>
      <c r="O46" s="51" t="s">
        <v>504</v>
      </c>
      <c r="P46" s="52">
        <v>0.0</v>
      </c>
      <c r="Q46" s="52">
        <v>0.0</v>
      </c>
      <c r="R46" s="57">
        <v>46250.862408877314</v>
      </c>
      <c r="S46" s="57">
        <v>46250.862408877314</v>
      </c>
    </row>
    <row r="47" ht="15.0" customHeight="1">
      <c r="A47" s="51">
        <v>73.0</v>
      </c>
      <c r="B47" s="51" t="s">
        <v>533</v>
      </c>
      <c r="C47" s="51" t="s">
        <v>370</v>
      </c>
      <c r="D47" s="51" t="s">
        <v>501</v>
      </c>
      <c r="E47" s="51" t="s">
        <v>509</v>
      </c>
      <c r="F47" s="51" t="s">
        <v>192</v>
      </c>
      <c r="G47" s="51" t="s">
        <v>308</v>
      </c>
      <c r="H47" s="52">
        <v>40.0</v>
      </c>
      <c r="I47" s="52">
        <v>0.25</v>
      </c>
      <c r="J47" s="52">
        <v>1.3239999999999998</v>
      </c>
      <c r="K47" s="51">
        <v>4.0</v>
      </c>
      <c r="L47" s="51">
        <v>0.0</v>
      </c>
      <c r="M47" s="51" t="s">
        <v>342</v>
      </c>
      <c r="N47" s="51">
        <v>7.0</v>
      </c>
      <c r="O47" s="51" t="s">
        <v>504</v>
      </c>
      <c r="P47" s="52">
        <v>0.0</v>
      </c>
      <c r="Q47" s="52">
        <v>0.0</v>
      </c>
      <c r="R47" s="57">
        <v>46250.86814337963</v>
      </c>
      <c r="S47" s="57">
        <v>46250.86814337963</v>
      </c>
    </row>
    <row r="48" ht="15.0" customHeight="1">
      <c r="A48" s="51">
        <v>75.0</v>
      </c>
      <c r="B48" s="51" t="s">
        <v>536</v>
      </c>
      <c r="C48" s="51" t="s">
        <v>370</v>
      </c>
      <c r="D48" s="51" t="s">
        <v>501</v>
      </c>
      <c r="E48" s="51" t="s">
        <v>509</v>
      </c>
      <c r="F48" s="51" t="s">
        <v>192</v>
      </c>
      <c r="G48" s="51" t="s">
        <v>308</v>
      </c>
      <c r="H48" s="52">
        <v>30.0</v>
      </c>
      <c r="I48" s="52">
        <v>0.4</v>
      </c>
      <c r="J48" s="52">
        <v>1.2750000000000001</v>
      </c>
      <c r="K48" s="51">
        <v>4.0</v>
      </c>
      <c r="L48" s="51">
        <v>0.0</v>
      </c>
      <c r="M48" s="51" t="s">
        <v>342</v>
      </c>
      <c r="N48" s="51">
        <v>7.0</v>
      </c>
      <c r="O48" s="51" t="s">
        <v>504</v>
      </c>
      <c r="P48" s="52">
        <v>0.0</v>
      </c>
      <c r="Q48" s="52">
        <v>0.0</v>
      </c>
      <c r="R48" s="57">
        <v>46250.91754929398</v>
      </c>
      <c r="S48" s="57">
        <v>46250.91754929398</v>
      </c>
    </row>
    <row r="49" ht="15.0" customHeight="1">
      <c r="A49" s="51">
        <v>76.0</v>
      </c>
      <c r="B49" s="51" t="s">
        <v>538</v>
      </c>
      <c r="C49" s="51" t="s">
        <v>370</v>
      </c>
      <c r="D49" s="51" t="s">
        <v>501</v>
      </c>
      <c r="E49" s="51" t="s">
        <v>509</v>
      </c>
      <c r="F49" s="51" t="s">
        <v>192</v>
      </c>
      <c r="G49" s="51" t="s">
        <v>308</v>
      </c>
      <c r="H49" s="52">
        <v>30.0</v>
      </c>
      <c r="I49" s="52">
        <v>0.25</v>
      </c>
      <c r="J49" s="52">
        <v>0.951</v>
      </c>
      <c r="K49" s="51">
        <v>4.0</v>
      </c>
      <c r="L49" s="51">
        <v>0.0</v>
      </c>
      <c r="M49" s="51" t="s">
        <v>342</v>
      </c>
      <c r="N49" s="51">
        <v>7.0</v>
      </c>
      <c r="O49" s="51" t="s">
        <v>504</v>
      </c>
      <c r="P49" s="52">
        <v>0.0</v>
      </c>
      <c r="Q49" s="52">
        <v>0.0</v>
      </c>
      <c r="R49" s="57">
        <v>46250.922563831016</v>
      </c>
      <c r="S49" s="57">
        <v>46250.922563831016</v>
      </c>
    </row>
    <row r="50" ht="15.0" customHeight="1">
      <c r="A50" s="51">
        <v>77.0</v>
      </c>
      <c r="B50" s="51" t="s">
        <v>539</v>
      </c>
      <c r="C50" s="51" t="s">
        <v>370</v>
      </c>
      <c r="D50" s="51" t="s">
        <v>501</v>
      </c>
      <c r="E50" s="51" t="s">
        <v>509</v>
      </c>
      <c r="F50" s="51" t="s">
        <v>192</v>
      </c>
      <c r="G50" s="51" t="s">
        <v>308</v>
      </c>
      <c r="H50" s="52">
        <v>30.0</v>
      </c>
      <c r="I50" s="52">
        <v>0.2</v>
      </c>
      <c r="J50" s="52">
        <v>1.0290000000000001</v>
      </c>
      <c r="K50" s="51">
        <v>4.0</v>
      </c>
      <c r="L50" s="51">
        <v>0.0</v>
      </c>
      <c r="M50" s="51" t="s">
        <v>342</v>
      </c>
      <c r="N50" s="51">
        <v>7.0</v>
      </c>
      <c r="O50" s="51" t="s">
        <v>555</v>
      </c>
      <c r="P50" s="52"/>
      <c r="Q50" s="52">
        <v>0.0</v>
      </c>
      <c r="R50" s="57">
        <v>46250.926344976855</v>
      </c>
      <c r="S50" s="57">
        <v>46250.926344988424</v>
      </c>
    </row>
    <row r="51" ht="15.0" customHeight="1">
      <c r="A51" s="51">
        <v>78.0</v>
      </c>
      <c r="B51" s="51" t="s">
        <v>541</v>
      </c>
      <c r="C51" s="51" t="s">
        <v>370</v>
      </c>
      <c r="D51" s="51" t="s">
        <v>501</v>
      </c>
      <c r="E51" s="51" t="s">
        <v>509</v>
      </c>
      <c r="F51" s="51" t="s">
        <v>192</v>
      </c>
      <c r="G51" s="51" t="s">
        <v>308</v>
      </c>
      <c r="H51" s="52">
        <v>60.0</v>
      </c>
      <c r="I51" s="52">
        <v>0.4</v>
      </c>
      <c r="J51" s="52">
        <v>2.0820000000000003</v>
      </c>
      <c r="K51" s="51">
        <v>4.0</v>
      </c>
      <c r="L51" s="51">
        <v>0.0</v>
      </c>
      <c r="M51" s="51" t="s">
        <v>342</v>
      </c>
      <c r="N51" s="51">
        <v>7.0</v>
      </c>
      <c r="O51" s="51" t="s">
        <v>504</v>
      </c>
      <c r="P51" s="52">
        <v>0.0</v>
      </c>
      <c r="Q51" s="52">
        <v>0.0</v>
      </c>
      <c r="R51" s="57">
        <v>46250.930060729166</v>
      </c>
      <c r="S51" s="57">
        <v>46250.930060729166</v>
      </c>
    </row>
    <row r="52" ht="15.0" customHeight="1">
      <c r="A52" s="51">
        <v>79.0</v>
      </c>
      <c r="B52" s="51" t="s">
        <v>543</v>
      </c>
      <c r="C52" s="51" t="s">
        <v>370</v>
      </c>
      <c r="D52" s="51" t="s">
        <v>501</v>
      </c>
      <c r="E52" s="51" t="s">
        <v>509</v>
      </c>
      <c r="F52" s="51" t="s">
        <v>192</v>
      </c>
      <c r="G52" s="51" t="s">
        <v>308</v>
      </c>
      <c r="H52" s="52">
        <v>40.0</v>
      </c>
      <c r="I52" s="52">
        <v>0.4</v>
      </c>
      <c r="J52" s="52">
        <v>1.1640000000000001</v>
      </c>
      <c r="K52" s="51">
        <v>4.0</v>
      </c>
      <c r="L52" s="51">
        <v>0.0</v>
      </c>
      <c r="M52" s="51" t="s">
        <v>342</v>
      </c>
      <c r="N52" s="51">
        <v>7.0</v>
      </c>
      <c r="O52" s="51" t="s">
        <v>504</v>
      </c>
      <c r="P52" s="52">
        <v>0.0</v>
      </c>
      <c r="Q52" s="52">
        <v>0.0</v>
      </c>
      <c r="R52" s="57">
        <v>46250.93443951389</v>
      </c>
      <c r="S52" s="57">
        <v>46250.93443951389</v>
      </c>
    </row>
    <row r="53" ht="15.0" customHeight="1">
      <c r="A53" s="51">
        <v>80.0</v>
      </c>
      <c r="B53" s="51" t="s">
        <v>546</v>
      </c>
      <c r="C53" s="51" t="s">
        <v>370</v>
      </c>
      <c r="D53" s="51" t="s">
        <v>501</v>
      </c>
      <c r="E53" s="51" t="s">
        <v>509</v>
      </c>
      <c r="F53" s="51" t="s">
        <v>192</v>
      </c>
      <c r="G53" s="51" t="s">
        <v>308</v>
      </c>
      <c r="H53" s="52">
        <v>40.0</v>
      </c>
      <c r="I53" s="52">
        <v>0.3</v>
      </c>
      <c r="J53" s="52">
        <v>1.5359999999999998</v>
      </c>
      <c r="K53" s="51">
        <v>4.0</v>
      </c>
      <c r="L53" s="51">
        <v>0.0</v>
      </c>
      <c r="M53" s="51" t="s">
        <v>342</v>
      </c>
      <c r="N53" s="51">
        <v>7.0</v>
      </c>
      <c r="O53" s="51" t="s">
        <v>504</v>
      </c>
      <c r="P53" s="52">
        <v>0.0</v>
      </c>
      <c r="Q53" s="52">
        <v>0.0</v>
      </c>
      <c r="R53" s="57">
        <v>46250.95712614583</v>
      </c>
      <c r="S53" s="57">
        <v>46250.95712615741</v>
      </c>
    </row>
    <row r="54" ht="15.0" customHeight="1">
      <c r="A54" s="51">
        <v>82.0</v>
      </c>
      <c r="B54" s="51" t="s">
        <v>549</v>
      </c>
      <c r="C54" s="51" t="s">
        <v>370</v>
      </c>
      <c r="D54" s="51" t="s">
        <v>501</v>
      </c>
      <c r="E54" s="51" t="s">
        <v>509</v>
      </c>
      <c r="F54" s="51" t="s">
        <v>192</v>
      </c>
      <c r="G54" s="51" t="s">
        <v>308</v>
      </c>
      <c r="H54" s="52">
        <v>20.0</v>
      </c>
      <c r="I54" s="52">
        <v>0.3</v>
      </c>
      <c r="J54" s="52">
        <v>0.608</v>
      </c>
      <c r="K54" s="51">
        <v>8.0</v>
      </c>
      <c r="L54" s="51">
        <v>0.0</v>
      </c>
      <c r="M54" s="51" t="s">
        <v>342</v>
      </c>
      <c r="N54" s="51">
        <v>7.0</v>
      </c>
      <c r="O54" s="51" t="s">
        <v>504</v>
      </c>
      <c r="P54" s="52">
        <v>0.0</v>
      </c>
      <c r="Q54" s="52">
        <v>0.0</v>
      </c>
      <c r="R54" s="57">
        <v>46251.0398653588</v>
      </c>
      <c r="S54" s="57">
        <v>46251.0398653588</v>
      </c>
    </row>
    <row r="55" ht="15.0" customHeight="1">
      <c r="A55" s="51">
        <v>83.0</v>
      </c>
      <c r="B55" s="51" t="s">
        <v>550</v>
      </c>
      <c r="C55" s="51" t="s">
        <v>370</v>
      </c>
      <c r="D55" s="51" t="s">
        <v>501</v>
      </c>
      <c r="E55" s="51" t="s">
        <v>509</v>
      </c>
      <c r="F55" s="51" t="s">
        <v>192</v>
      </c>
      <c r="G55" s="51" t="s">
        <v>308</v>
      </c>
      <c r="H55" s="52">
        <v>40.0</v>
      </c>
      <c r="I55" s="52">
        <v>0.3</v>
      </c>
      <c r="J55" s="52">
        <v>1.552</v>
      </c>
      <c r="K55" s="51">
        <v>4.0</v>
      </c>
      <c r="L55" s="51">
        <v>0.0</v>
      </c>
      <c r="M55" s="51" t="s">
        <v>342</v>
      </c>
      <c r="N55" s="51">
        <v>7.0</v>
      </c>
      <c r="O55" s="51" t="s">
        <v>504</v>
      </c>
      <c r="P55" s="52">
        <v>0.0</v>
      </c>
      <c r="Q55" s="52">
        <v>0.0</v>
      </c>
      <c r="R55" s="57">
        <v>46251.96344072917</v>
      </c>
      <c r="S55" s="57">
        <v>46251.96344072917</v>
      </c>
    </row>
    <row r="56" ht="36.0" customHeight="1">
      <c r="A56" s="51">
        <v>84.0</v>
      </c>
      <c r="B56" s="51" t="s">
        <v>223</v>
      </c>
      <c r="C56" s="51" t="s">
        <v>258</v>
      </c>
      <c r="D56" s="51" t="s">
        <v>501</v>
      </c>
      <c r="E56" s="51" t="s">
        <v>509</v>
      </c>
      <c r="F56" s="51" t="s">
        <v>192</v>
      </c>
      <c r="G56" s="51" t="s">
        <v>308</v>
      </c>
      <c r="H56" s="52">
        <v>20.0</v>
      </c>
      <c r="I56" s="52">
        <v>0.2</v>
      </c>
      <c r="J56" s="52">
        <v>0.594</v>
      </c>
      <c r="K56" s="51">
        <v>5.0</v>
      </c>
      <c r="L56" s="51">
        <v>0.0</v>
      </c>
      <c r="M56" s="51" t="s">
        <v>342</v>
      </c>
      <c r="N56" s="51">
        <v>7.0</v>
      </c>
      <c r="O56" s="51" t="s">
        <v>555</v>
      </c>
      <c r="P56" s="52"/>
      <c r="Q56" s="52">
        <v>37.94525214900684</v>
      </c>
      <c r="R56" s="57">
        <v>46251.984408958335</v>
      </c>
      <c r="S56" s="57">
        <v>46251.984408958335</v>
      </c>
    </row>
    <row r="57" ht="15.0" customHeight="1">
      <c r="A57" s="51">
        <v>85.0</v>
      </c>
      <c r="B57" s="51" t="s">
        <v>227</v>
      </c>
      <c r="C57" s="51" t="s">
        <v>258</v>
      </c>
      <c r="D57" s="51" t="s">
        <v>501</v>
      </c>
      <c r="E57" s="51" t="s">
        <v>509</v>
      </c>
      <c r="F57" s="51" t="s">
        <v>192</v>
      </c>
      <c r="G57" s="51" t="s">
        <v>308</v>
      </c>
      <c r="H57" s="52">
        <v>20.0</v>
      </c>
      <c r="I57" s="52">
        <v>0.2</v>
      </c>
      <c r="J57" s="52">
        <v>0.594</v>
      </c>
      <c r="K57" s="51">
        <v>4.0</v>
      </c>
      <c r="L57" s="51">
        <v>0.0</v>
      </c>
      <c r="M57" s="51" t="s">
        <v>342</v>
      </c>
      <c r="N57" s="51">
        <v>7.0</v>
      </c>
      <c r="O57" s="51" t="s">
        <v>555</v>
      </c>
      <c r="P57" s="52"/>
      <c r="Q57" s="52">
        <v>37.94525214900679</v>
      </c>
      <c r="R57" s="57">
        <v>46251.98831577546</v>
      </c>
      <c r="S57" s="57">
        <v>46251.98831577546</v>
      </c>
    </row>
    <row r="58" ht="15.0" customHeight="1">
      <c r="A58" s="51">
        <v>86.0</v>
      </c>
      <c r="B58" s="51" t="s">
        <v>231</v>
      </c>
      <c r="C58" s="51" t="s">
        <v>258</v>
      </c>
      <c r="D58" s="51" t="s">
        <v>501</v>
      </c>
      <c r="E58" s="51" t="s">
        <v>509</v>
      </c>
      <c r="F58" s="51" t="s">
        <v>192</v>
      </c>
      <c r="G58" s="51" t="s">
        <v>308</v>
      </c>
      <c r="H58" s="52">
        <v>20.0</v>
      </c>
      <c r="I58" s="52">
        <v>0.2</v>
      </c>
      <c r="J58" s="52">
        <v>0.594</v>
      </c>
      <c r="K58" s="51">
        <v>4.0</v>
      </c>
      <c r="L58" s="51">
        <v>0.0</v>
      </c>
      <c r="M58" s="51" t="s">
        <v>342</v>
      </c>
      <c r="N58" s="51">
        <v>7.0</v>
      </c>
      <c r="O58" s="51" t="s">
        <v>555</v>
      </c>
      <c r="P58" s="52"/>
      <c r="Q58" s="52">
        <v>37.94504171077204</v>
      </c>
      <c r="R58" s="57">
        <v>46251.99192920139</v>
      </c>
      <c r="S58" s="57">
        <v>46251.99192920139</v>
      </c>
    </row>
    <row r="59" ht="15.0" customHeight="1">
      <c r="A59" s="51">
        <v>87.0</v>
      </c>
      <c r="B59" s="51" t="s">
        <v>234</v>
      </c>
      <c r="C59" s="51" t="s">
        <v>258</v>
      </c>
      <c r="D59" s="51" t="s">
        <v>501</v>
      </c>
      <c r="E59" s="51" t="s">
        <v>509</v>
      </c>
      <c r="F59" s="51" t="s">
        <v>192</v>
      </c>
      <c r="G59" s="51" t="s">
        <v>308</v>
      </c>
      <c r="H59" s="52">
        <v>20.0</v>
      </c>
      <c r="I59" s="52">
        <v>0.2</v>
      </c>
      <c r="J59" s="52">
        <v>0.594</v>
      </c>
      <c r="K59" s="51">
        <v>5.0</v>
      </c>
      <c r="L59" s="51">
        <v>1.0</v>
      </c>
      <c r="M59" s="51" t="s">
        <v>342</v>
      </c>
      <c r="N59" s="51">
        <v>7.0</v>
      </c>
      <c r="O59" s="51" t="s">
        <v>555</v>
      </c>
      <c r="P59" s="52"/>
      <c r="Q59" s="52">
        <v>38.28989852706787</v>
      </c>
      <c r="R59" s="57">
        <v>46251.99540976852</v>
      </c>
      <c r="S59" s="57">
        <v>46251.99540976852</v>
      </c>
    </row>
    <row r="60" ht="15.0" customHeight="1">
      <c r="A60" s="51">
        <v>88.0</v>
      </c>
      <c r="B60" s="51" t="s">
        <v>237</v>
      </c>
      <c r="C60" s="51" t="s">
        <v>258</v>
      </c>
      <c r="D60" s="51" t="s">
        <v>501</v>
      </c>
      <c r="E60" s="51" t="s">
        <v>509</v>
      </c>
      <c r="F60" s="51" t="s">
        <v>192</v>
      </c>
      <c r="G60" s="51" t="s">
        <v>308</v>
      </c>
      <c r="H60" s="52">
        <v>20.0</v>
      </c>
      <c r="I60" s="52">
        <v>0.1</v>
      </c>
      <c r="J60" s="52">
        <v>0.596</v>
      </c>
      <c r="K60" s="51">
        <v>7.0</v>
      </c>
      <c r="L60" s="51">
        <v>0.0</v>
      </c>
      <c r="M60" s="51" t="s">
        <v>342</v>
      </c>
      <c r="N60" s="51">
        <v>7.0</v>
      </c>
      <c r="O60" s="51" t="s">
        <v>555</v>
      </c>
      <c r="P60" s="52"/>
      <c r="Q60" s="52">
        <v>79.75434821249476</v>
      </c>
      <c r="R60" s="57">
        <v>46252.020045</v>
      </c>
      <c r="S60" s="57">
        <v>46252.020045</v>
      </c>
    </row>
    <row r="61" ht="15.0" customHeight="1">
      <c r="A61" s="51">
        <v>89.0</v>
      </c>
      <c r="B61" s="51" t="s">
        <v>250</v>
      </c>
      <c r="C61" s="51" t="s">
        <v>258</v>
      </c>
      <c r="D61" s="51" t="s">
        <v>501</v>
      </c>
      <c r="E61" s="51" t="s">
        <v>509</v>
      </c>
      <c r="F61" s="51" t="s">
        <v>192</v>
      </c>
      <c r="G61" s="51" t="s">
        <v>308</v>
      </c>
      <c r="H61" s="52">
        <v>20.0</v>
      </c>
      <c r="I61" s="52">
        <v>0.2</v>
      </c>
      <c r="J61" s="52">
        <v>0.594</v>
      </c>
      <c r="K61" s="51">
        <v>5.0</v>
      </c>
      <c r="L61" s="51">
        <v>0.0</v>
      </c>
      <c r="M61" s="51" t="s">
        <v>342</v>
      </c>
      <c r="N61" s="51">
        <v>7.0</v>
      </c>
      <c r="O61" s="51" t="s">
        <v>555</v>
      </c>
      <c r="P61" s="52"/>
      <c r="Q61" s="52">
        <v>37.94864438905352</v>
      </c>
      <c r="R61" s="57">
        <v>46252.02429212963</v>
      </c>
      <c r="S61" s="57">
        <v>46252.02429212963</v>
      </c>
    </row>
    <row r="62" ht="15.0" customHeight="1">
      <c r="A62" s="51">
        <v>90.0</v>
      </c>
      <c r="B62" s="51" t="s">
        <v>560</v>
      </c>
      <c r="C62" s="51" t="s">
        <v>370</v>
      </c>
      <c r="D62" s="51" t="s">
        <v>501</v>
      </c>
      <c r="E62" s="51" t="s">
        <v>509</v>
      </c>
      <c r="F62" s="51" t="s">
        <v>192</v>
      </c>
      <c r="G62" s="51" t="s">
        <v>308</v>
      </c>
      <c r="H62" s="52">
        <v>60.0</v>
      </c>
      <c r="I62" s="52">
        <v>-0.029</v>
      </c>
      <c r="J62" s="52">
        <v>1.8059999999999998</v>
      </c>
      <c r="K62" s="51">
        <v>5.0</v>
      </c>
      <c r="L62" s="51">
        <v>0.0</v>
      </c>
      <c r="M62" s="51" t="s">
        <v>342</v>
      </c>
      <c r="N62" s="51">
        <v>7.0</v>
      </c>
      <c r="O62" s="51" t="s">
        <v>555</v>
      </c>
      <c r="P62" s="52"/>
      <c r="Q62" s="52">
        <v>0.0</v>
      </c>
      <c r="R62" s="57">
        <v>46252.02733074074</v>
      </c>
      <c r="S62" s="57">
        <v>46252.02733074074</v>
      </c>
    </row>
    <row r="63" ht="15.0" customHeight="1">
      <c r="A63" s="51">
        <v>91.0</v>
      </c>
      <c r="B63" s="51" t="s">
        <v>261</v>
      </c>
      <c r="C63" s="51" t="s">
        <v>258</v>
      </c>
      <c r="D63" s="51" t="s">
        <v>501</v>
      </c>
      <c r="E63" s="51" t="s">
        <v>509</v>
      </c>
      <c r="F63" s="51" t="s">
        <v>192</v>
      </c>
      <c r="G63" s="51" t="s">
        <v>308</v>
      </c>
      <c r="H63" s="52">
        <v>20.0</v>
      </c>
      <c r="I63" s="52">
        <v>0.2</v>
      </c>
      <c r="J63" s="52">
        <v>0.594</v>
      </c>
      <c r="K63" s="51">
        <v>5.0</v>
      </c>
      <c r="L63" s="51">
        <v>1.0</v>
      </c>
      <c r="M63" s="51" t="s">
        <v>342</v>
      </c>
      <c r="N63" s="51">
        <v>7.0</v>
      </c>
      <c r="O63" s="51" t="s">
        <v>555</v>
      </c>
      <c r="P63" s="52"/>
      <c r="Q63" s="52">
        <v>47.025</v>
      </c>
      <c r="R63" s="57">
        <v>46253.01307569444</v>
      </c>
      <c r="S63" s="57">
        <v>46253.01307569444</v>
      </c>
    </row>
    <row r="64" ht="15.0" customHeight="1">
      <c r="A64" s="51">
        <v>92.0</v>
      </c>
      <c r="B64" s="51" t="s">
        <v>267</v>
      </c>
      <c r="C64" s="51" t="s">
        <v>258</v>
      </c>
      <c r="D64" s="51" t="s">
        <v>501</v>
      </c>
      <c r="E64" s="51" t="s">
        <v>509</v>
      </c>
      <c r="F64" s="51" t="s">
        <v>192</v>
      </c>
      <c r="G64" s="51" t="s">
        <v>308</v>
      </c>
      <c r="H64" s="52">
        <v>20.0</v>
      </c>
      <c r="I64" s="52">
        <v>0.2</v>
      </c>
      <c r="J64" s="52">
        <v>0.594</v>
      </c>
      <c r="K64" s="51">
        <v>6.0</v>
      </c>
      <c r="L64" s="51">
        <v>0.0</v>
      </c>
      <c r="M64" s="51" t="s">
        <v>342</v>
      </c>
      <c r="N64" s="51">
        <v>7.0</v>
      </c>
      <c r="O64" s="51" t="s">
        <v>555</v>
      </c>
      <c r="P64" s="52"/>
      <c r="Q64" s="52">
        <v>37.125</v>
      </c>
      <c r="R64" s="57">
        <v>46253.01949630787</v>
      </c>
      <c r="S64" s="57">
        <v>46253.01949630787</v>
      </c>
    </row>
    <row r="65" ht="15.0" customHeight="1">
      <c r="A65" s="51">
        <v>93.0</v>
      </c>
      <c r="B65" s="51" t="s">
        <v>566</v>
      </c>
      <c r="C65" s="51" t="s">
        <v>370</v>
      </c>
      <c r="D65" s="51" t="s">
        <v>501</v>
      </c>
      <c r="E65" s="51" t="s">
        <v>509</v>
      </c>
      <c r="F65" s="51" t="s">
        <v>192</v>
      </c>
      <c r="G65" s="51" t="s">
        <v>308</v>
      </c>
      <c r="H65" s="52">
        <v>20.0</v>
      </c>
      <c r="I65" s="52">
        <v>0.2</v>
      </c>
      <c r="J65" s="52">
        <v>0.594</v>
      </c>
      <c r="K65" s="51">
        <v>4.0</v>
      </c>
      <c r="L65" s="51">
        <v>0.0</v>
      </c>
      <c r="M65" s="51" t="s">
        <v>342</v>
      </c>
      <c r="N65" s="51">
        <v>7.0</v>
      </c>
      <c r="O65" s="51" t="s">
        <v>555</v>
      </c>
      <c r="P65" s="52"/>
      <c r="Q65" s="52">
        <v>0.0</v>
      </c>
      <c r="R65" s="57">
        <v>46253.03548755787</v>
      </c>
      <c r="S65" s="57">
        <v>46253.03548755787</v>
      </c>
    </row>
    <row r="66" ht="15.0" customHeight="1">
      <c r="A66" s="51">
        <v>94.0</v>
      </c>
      <c r="B66" s="51" t="s">
        <v>569</v>
      </c>
      <c r="C66" s="51" t="s">
        <v>370</v>
      </c>
      <c r="D66" s="51" t="s">
        <v>501</v>
      </c>
      <c r="E66" s="51" t="s">
        <v>509</v>
      </c>
      <c r="F66" s="51" t="s">
        <v>192</v>
      </c>
      <c r="G66" s="51" t="s">
        <v>308</v>
      </c>
      <c r="H66" s="52">
        <v>70.0</v>
      </c>
      <c r="I66" s="52">
        <v>0.181</v>
      </c>
      <c r="J66" s="52">
        <v>1.827</v>
      </c>
      <c r="K66" s="51">
        <v>4.0</v>
      </c>
      <c r="L66" s="51">
        <v>0.0</v>
      </c>
      <c r="M66" s="51" t="s">
        <v>342</v>
      </c>
      <c r="N66" s="51">
        <v>7.0</v>
      </c>
      <c r="O66" s="51" t="s">
        <v>555</v>
      </c>
      <c r="P66" s="52"/>
      <c r="Q66" s="52">
        <v>0.0</v>
      </c>
      <c r="R66" s="57">
        <v>46253.04361501157</v>
      </c>
      <c r="S66" s="57">
        <v>46253.04361501157</v>
      </c>
    </row>
    <row r="67" ht="15.0" customHeight="1">
      <c r="A67" s="51">
        <v>95.0</v>
      </c>
      <c r="B67" s="51" t="s">
        <v>571</v>
      </c>
      <c r="C67" s="51" t="s">
        <v>370</v>
      </c>
      <c r="D67" s="51" t="s">
        <v>501</v>
      </c>
      <c r="E67" s="51" t="s">
        <v>509</v>
      </c>
      <c r="F67" s="51" t="s">
        <v>192</v>
      </c>
      <c r="G67" s="51" t="s">
        <v>308</v>
      </c>
      <c r="H67" s="52">
        <v>70.0</v>
      </c>
      <c r="I67" s="52">
        <v>-0.031</v>
      </c>
      <c r="J67" s="52">
        <v>1.981</v>
      </c>
      <c r="K67" s="51">
        <v>4.0</v>
      </c>
      <c r="L67" s="51">
        <v>0.0</v>
      </c>
      <c r="M67" s="51" t="s">
        <v>342</v>
      </c>
      <c r="N67" s="51">
        <v>7.0</v>
      </c>
      <c r="O67" s="51" t="s">
        <v>504</v>
      </c>
      <c r="P67" s="52">
        <v>0.0</v>
      </c>
      <c r="Q67" s="52">
        <v>0.0</v>
      </c>
      <c r="R67" s="57">
        <v>46253.05582832176</v>
      </c>
      <c r="S67" s="57">
        <v>46253.05582832176</v>
      </c>
    </row>
    <row r="68" ht="15.0" customHeight="1">
      <c r="A68" s="51">
        <v>97.0</v>
      </c>
      <c r="B68" s="51" t="s">
        <v>575</v>
      </c>
      <c r="D68" s="51" t="s">
        <v>501</v>
      </c>
      <c r="E68" s="51" t="s">
        <v>509</v>
      </c>
      <c r="F68" s="51" t="s">
        <v>192</v>
      </c>
      <c r="G68" s="51" t="s">
        <v>308</v>
      </c>
      <c r="H68" s="52">
        <v>20.0</v>
      </c>
      <c r="I68" s="52">
        <v>0.2</v>
      </c>
      <c r="J68" s="52">
        <v>0.594</v>
      </c>
      <c r="K68" s="51">
        <v>5.0</v>
      </c>
      <c r="L68" s="51">
        <v>0.0</v>
      </c>
      <c r="M68" s="51" t="s">
        <v>342</v>
      </c>
      <c r="N68" s="51">
        <v>7.0</v>
      </c>
      <c r="O68" s="51" t="s">
        <v>555</v>
      </c>
      <c r="P68" s="52"/>
      <c r="Q68" s="52">
        <v>0.0</v>
      </c>
      <c r="R68" s="57">
        <v>46253.06443748843</v>
      </c>
      <c r="S68" s="57">
        <v>46253.06443748843</v>
      </c>
    </row>
    <row r="69" ht="15.0" customHeight="1">
      <c r="A69" s="51">
        <v>98.0</v>
      </c>
      <c r="B69" s="51" t="s">
        <v>577</v>
      </c>
      <c r="C69" s="51" t="s">
        <v>370</v>
      </c>
      <c r="D69" s="51" t="s">
        <v>501</v>
      </c>
      <c r="E69" s="51" t="s">
        <v>509</v>
      </c>
      <c r="F69" s="51" t="s">
        <v>192</v>
      </c>
      <c r="G69" s="51" t="s">
        <v>308</v>
      </c>
      <c r="H69" s="52">
        <v>20.0</v>
      </c>
      <c r="I69" s="52">
        <v>0.2</v>
      </c>
      <c r="J69" s="52">
        <v>0.594</v>
      </c>
      <c r="K69" s="51">
        <v>4.0</v>
      </c>
      <c r="L69" s="51">
        <v>0.0</v>
      </c>
      <c r="M69" s="51" t="s">
        <v>342</v>
      </c>
      <c r="N69" s="51">
        <v>7.0</v>
      </c>
      <c r="O69" s="51" t="s">
        <v>555</v>
      </c>
      <c r="P69" s="52"/>
      <c r="Q69" s="52">
        <v>0.0</v>
      </c>
      <c r="R69" s="57">
        <v>46253.0677859375</v>
      </c>
      <c r="S69" s="57">
        <v>46253.0677859375</v>
      </c>
    </row>
    <row r="70" ht="15.0" customHeight="1">
      <c r="A70" s="51">
        <v>99.0</v>
      </c>
      <c r="B70" s="51" t="s">
        <v>273</v>
      </c>
      <c r="C70" s="51" t="s">
        <v>258</v>
      </c>
      <c r="D70" s="51" t="s">
        <v>501</v>
      </c>
      <c r="E70" s="51" t="s">
        <v>509</v>
      </c>
      <c r="F70" s="51" t="s">
        <v>192</v>
      </c>
      <c r="G70" s="51" t="s">
        <v>308</v>
      </c>
      <c r="H70" s="52">
        <v>20.0</v>
      </c>
      <c r="I70" s="52">
        <v>0.2</v>
      </c>
      <c r="J70" s="52">
        <v>0.594</v>
      </c>
      <c r="K70" s="51">
        <v>5.0</v>
      </c>
      <c r="L70" s="51">
        <v>0.0</v>
      </c>
      <c r="M70" s="51" t="s">
        <v>342</v>
      </c>
      <c r="N70" s="51">
        <v>7.0</v>
      </c>
      <c r="O70" s="51" t="s">
        <v>555</v>
      </c>
      <c r="P70" s="52"/>
      <c r="Q70" s="52">
        <v>47.5</v>
      </c>
      <c r="R70" s="57">
        <v>46253.56493912037</v>
      </c>
      <c r="S70" s="57">
        <v>46253.56493912037</v>
      </c>
    </row>
    <row r="71" ht="15.0" customHeight="1">
      <c r="A71" s="51">
        <v>100.0</v>
      </c>
      <c r="B71" s="51" t="s">
        <v>294</v>
      </c>
      <c r="C71" s="51" t="s">
        <v>258</v>
      </c>
      <c r="D71" s="51" t="s">
        <v>501</v>
      </c>
      <c r="E71" s="51" t="s">
        <v>509</v>
      </c>
      <c r="F71" s="51" t="s">
        <v>192</v>
      </c>
      <c r="G71" s="51" t="s">
        <v>308</v>
      </c>
      <c r="H71" s="52">
        <v>20.0</v>
      </c>
      <c r="I71" s="52">
        <v>0.2</v>
      </c>
      <c r="J71" s="52">
        <v>0.594</v>
      </c>
      <c r="K71" s="51">
        <v>5.0</v>
      </c>
      <c r="L71" s="51">
        <v>0.0</v>
      </c>
      <c r="M71" s="51" t="s">
        <v>342</v>
      </c>
      <c r="N71" s="51">
        <v>7.0</v>
      </c>
      <c r="O71" s="51" t="s">
        <v>555</v>
      </c>
      <c r="P71" s="52"/>
      <c r="Q71" s="52">
        <v>47.5</v>
      </c>
      <c r="R71" s="57">
        <v>46260.54068155093</v>
      </c>
      <c r="S71" s="57">
        <v>46260.54068155093</v>
      </c>
    </row>
    <row r="72" ht="15.0" customHeight="1">
      <c r="A72" s="51">
        <v>101.0</v>
      </c>
      <c r="B72" s="51" t="s">
        <v>369</v>
      </c>
      <c r="C72" s="51" t="s">
        <v>370</v>
      </c>
      <c r="D72" s="51" t="s">
        <v>501</v>
      </c>
      <c r="E72" s="51" t="s">
        <v>509</v>
      </c>
      <c r="F72" s="51" t="s">
        <v>192</v>
      </c>
      <c r="G72" s="51" t="s">
        <v>308</v>
      </c>
      <c r="H72" s="52">
        <v>20.0</v>
      </c>
      <c r="I72" s="52">
        <v>0.2</v>
      </c>
      <c r="J72" s="52">
        <v>0.594</v>
      </c>
      <c r="K72" s="51">
        <v>4.0</v>
      </c>
      <c r="L72" s="51">
        <v>0.0</v>
      </c>
      <c r="M72" s="51" t="s">
        <v>342</v>
      </c>
      <c r="N72" s="51">
        <v>7.0</v>
      </c>
      <c r="O72" s="51" t="s">
        <v>555</v>
      </c>
      <c r="P72" s="52"/>
      <c r="Q72" s="52">
        <v>0.0</v>
      </c>
      <c r="R72" s="57">
        <v>46260.92275765046</v>
      </c>
      <c r="S72" s="57">
        <v>46260.92275765046</v>
      </c>
    </row>
    <row r="73" ht="15.0" customHeight="1">
      <c r="A73" s="51">
        <v>102.0</v>
      </c>
      <c r="B73" s="51" t="s">
        <v>414</v>
      </c>
      <c r="C73" s="51" t="s">
        <v>370</v>
      </c>
      <c r="D73" s="51" t="s">
        <v>501</v>
      </c>
      <c r="E73" s="51" t="s">
        <v>509</v>
      </c>
      <c r="F73" s="51" t="s">
        <v>192</v>
      </c>
      <c r="G73" s="51" t="s">
        <v>308</v>
      </c>
      <c r="H73" s="52">
        <v>30.0</v>
      </c>
      <c r="I73" s="52">
        <v>0.25</v>
      </c>
      <c r="J73" s="52">
        <v>1.074</v>
      </c>
      <c r="K73" s="51">
        <v>4.0</v>
      </c>
      <c r="L73" s="51">
        <v>0.0</v>
      </c>
      <c r="M73" s="51" t="s">
        <v>342</v>
      </c>
      <c r="N73" s="51">
        <v>7.0</v>
      </c>
      <c r="O73" s="51" t="s">
        <v>555</v>
      </c>
      <c r="P73" s="52"/>
      <c r="Q73" s="52">
        <v>0.0</v>
      </c>
      <c r="R73" s="57">
        <v>46260.92525612268</v>
      </c>
      <c r="S73" s="57">
        <v>46260.92525612268</v>
      </c>
    </row>
    <row r="74" ht="15.0" customHeight="1">
      <c r="A74" s="53">
        <v>103.0</v>
      </c>
      <c r="B74" s="53" t="s">
        <v>578</v>
      </c>
      <c r="C74" s="53" t="s">
        <v>370</v>
      </c>
      <c r="D74" s="53" t="s">
        <v>501</v>
      </c>
      <c r="E74" s="53" t="s">
        <v>509</v>
      </c>
      <c r="F74" s="53" t="s">
        <v>192</v>
      </c>
      <c r="G74" s="53" t="s">
        <v>308</v>
      </c>
      <c r="H74" s="54">
        <v>60.0</v>
      </c>
      <c r="I74" s="54">
        <v>-0.029</v>
      </c>
      <c r="J74" s="54">
        <v>1.8059999999999998</v>
      </c>
      <c r="K74" s="53">
        <v>5.0</v>
      </c>
      <c r="L74" s="53">
        <v>0.0</v>
      </c>
      <c r="M74" s="53" t="s">
        <v>342</v>
      </c>
      <c r="N74" s="53">
        <v>7.0</v>
      </c>
      <c r="O74" s="53" t="s">
        <v>555</v>
      </c>
      <c r="P74" s="54"/>
      <c r="Q74" s="54">
        <v>0.0</v>
      </c>
      <c r="R74" s="58">
        <v>46260.95105229167</v>
      </c>
      <c r="S74" s="58">
        <v>46260.95105229167</v>
      </c>
    </row>
    <row r="75" ht="15.0" customHeight="1"/>
    <row r="76" ht="15.0" customHeight="1"/>
    <row r="77" ht="15.0" customHeight="1"/>
    <row r="78" ht="15.0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